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5.xml" ContentType="application/vnd.ms-excel.slicer+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slicers/slicer6.xml" ContentType="application/vnd.ms-excel.slicer+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xml"/>
  <Override PartName="/xl/slicers/slicer7.xml" ContentType="application/vnd.ms-excel.slicer+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9.xml" ContentType="application/vnd.openxmlformats-officedocument.drawing+xml"/>
  <Override PartName="/xl/slicers/slicer9.xml" ContentType="application/vnd.ms-excel.slicer+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1.xml" ContentType="application/vnd.openxmlformats-officedocument.drawing+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2.xml" ContentType="application/vnd.openxmlformats-officedocument.drawing+xml"/>
  <Override PartName="/xl/slicers/slicer11.xml" ContentType="application/vnd.ms-excel.slicer+xml"/>
  <Override PartName="/xl/charts/chart37.xml" ContentType="application/vnd.openxmlformats-officedocument.drawingml.chart+xml"/>
  <Override PartName="/xl/charts/style35.xml" ContentType="application/vnd.ms-office.chartstyle+xml"/>
  <Override PartName="/xl/charts/colors35.xml" ContentType="application/vnd.ms-office.chartcolorstyle+xml"/>
  <Override PartName="/xl/charts/chart38.xml" ContentType="application/vnd.openxmlformats-officedocument.drawingml.chart+xml"/>
  <Override PartName="/xl/charts/style36.xml" ContentType="application/vnd.ms-office.chartstyle+xml"/>
  <Override PartName="/xl/charts/colors36.xml" ContentType="application/vnd.ms-office.chartcolorstyle+xml"/>
  <Override PartName="/xl/charts/chart39.xml" ContentType="application/vnd.openxmlformats-officedocument.drawingml.chart+xml"/>
  <Override PartName="/xl/charts/chart40.xml" ContentType="application/vnd.openxmlformats-officedocument.drawingml.chart+xml"/>
  <Override PartName="/xl/charts/style37.xml" ContentType="application/vnd.ms-office.chartstyle+xml"/>
  <Override PartName="/xl/charts/colors37.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3.xml" ContentType="application/vnd.openxmlformats-officedocument.drawing+xml"/>
  <Override PartName="/xl/slicers/slicer12.xml" ContentType="application/vnd.ms-excel.slicer+xml"/>
  <Override PartName="/xl/charts/chart41.xml" ContentType="application/vnd.openxmlformats-officedocument.drawingml.chart+xml"/>
  <Override PartName="/xl/charts/style38.xml" ContentType="application/vnd.ms-office.chartstyle+xml"/>
  <Override PartName="/xl/charts/colors38.xml" ContentType="application/vnd.ms-office.chartcolorstyle+xml"/>
  <Override PartName="/xl/charts/chart42.xml" ContentType="application/vnd.openxmlformats-officedocument.drawingml.chart+xml"/>
  <Override PartName="/xl/charts/style39.xml" ContentType="application/vnd.ms-office.chartstyle+xml"/>
  <Override PartName="/xl/charts/colors39.xml" ContentType="application/vnd.ms-office.chartcolorstyle+xml"/>
  <Override PartName="/xl/charts/chart43.xml" ContentType="application/vnd.openxmlformats-officedocument.drawingml.chart+xml"/>
  <Override PartName="/xl/charts/style40.xml" ContentType="application/vnd.ms-office.chartstyle+xml"/>
  <Override PartName="/xl/charts/colors40.xml" ContentType="application/vnd.ms-office.chartcolorstyle+xml"/>
  <Override PartName="/xl/charts/chart44.xml" ContentType="application/vnd.openxmlformats-officedocument.drawingml.chart+xml"/>
  <Override PartName="/xl/charts/style41.xml" ContentType="application/vnd.ms-office.chartstyle+xml"/>
  <Override PartName="/xl/charts/colors4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bu Bakker Siddik\Downloads\"/>
    </mc:Choice>
  </mc:AlternateContent>
  <xr:revisionPtr revIDLastSave="0" documentId="8_{C7EE8D4F-CCD0-4D70-A8C4-B8218279B0FC}" xr6:coauthVersionLast="47" xr6:coauthVersionMax="47" xr10:uidLastSave="{00000000-0000-0000-0000-000000000000}"/>
  <bookViews>
    <workbookView xWindow="930" yWindow="0" windowWidth="27870" windowHeight="16200" firstSheet="16" activeTab="19" xr2:uid="{00000000-000D-0000-FFFF-FFFF00000000}"/>
  </bookViews>
  <sheets>
    <sheet name="Sheet3" sheetId="3" r:id="rId1"/>
    <sheet name="Sheet5" sheetId="5" r:id="rId2"/>
    <sheet name="Sheet9" sheetId="12" r:id="rId3"/>
    <sheet name="Sheet6" sheetId="6" r:id="rId4"/>
    <sheet name="sales" sheetId="42" r:id="rId5"/>
    <sheet name="Sheet18" sheetId="43" r:id="rId6"/>
    <sheet name="Sheet13" sheetId="21" r:id="rId7"/>
    <sheet name="Sheet16" sheetId="20" r:id="rId8"/>
    <sheet name="Sheet10" sheetId="28" r:id="rId9"/>
    <sheet name="Sheet1" sheetId="29" r:id="rId10"/>
    <sheet name="Sheet2" sheetId="30" r:id="rId11"/>
    <sheet name="Sheet7" sheetId="32" r:id="rId12"/>
    <sheet name="Sheet11" sheetId="37" r:id="rId13"/>
    <sheet name="Sheet17" sheetId="44" r:id="rId14"/>
    <sheet name="Sheet4" sheetId="36" r:id="rId15"/>
    <sheet name="Sheet12" sheetId="38" r:id="rId16"/>
    <sheet name="Sales &amp; revenue" sheetId="34" r:id="rId17"/>
    <sheet name="Sheet15" sheetId="41" r:id="rId18"/>
    <sheet name="Sheet8" sheetId="33" r:id="rId19"/>
    <sheet name="Banking Analysis" sheetId="45" r:id="rId20"/>
    <sheet name="Sheet20" sheetId="46" r:id="rId21"/>
    <sheet name="Sales performance Analysis" sheetId="47" r:id="rId22"/>
    <sheet name="Sheet14" sheetId="48" r:id="rId23"/>
  </sheets>
  <definedNames>
    <definedName name="_xlnm._FilterDatabase" localSheetId="3" hidden="1">Sheet6!$A$1:$H$11</definedName>
    <definedName name="_xlnm._FilterDatabase" localSheetId="18" hidden="1">Sheet8!$A$1:$O$20</definedName>
    <definedName name="Slicer_Bonus">#N/A</definedName>
    <definedName name="Slicer_branch_name">#N/A</definedName>
    <definedName name="Slicer_category">#N/A</definedName>
    <definedName name="Slicer_category1">#N/A</definedName>
    <definedName name="Slicer_country">#N/A</definedName>
    <definedName name="Slicer_country1">#N/A</definedName>
    <definedName name="Slicer_country2">#N/A</definedName>
    <definedName name="Slicer_CUSTOMER_NAME">#N/A</definedName>
    <definedName name="Slicer_customer_name1">#N/A</definedName>
    <definedName name="Slicer_Customer_name2">#N/A</definedName>
    <definedName name="Slicer_customer_name3">#N/A</definedName>
    <definedName name="Slicer_customer_name4">#N/A</definedName>
    <definedName name="Slicer_Day">#N/A</definedName>
    <definedName name="Slicer_day2">#N/A</definedName>
    <definedName name="Slicer_Department">#N/A</definedName>
    <definedName name="Slicer_Hire_date">#N/A</definedName>
    <definedName name="Slicer_Month">#N/A</definedName>
    <definedName name="Slicer_Month1">#N/A</definedName>
    <definedName name="Slicer_month2">#N/A</definedName>
    <definedName name="Slicer_Months__order_date">#N/A</definedName>
    <definedName name="Slicer_Name">#N/A</definedName>
    <definedName name="Slicer_name1">#N/A</definedName>
    <definedName name="Slicer_Name2">#N/A</definedName>
    <definedName name="Slicer_name21">#N/A</definedName>
    <definedName name="Slicer_order_date">#N/A</definedName>
    <definedName name="Slicer_product_name">#N/A</definedName>
    <definedName name="Slicer_Product_name1">#N/A</definedName>
    <definedName name="Slicer_product_name2">#N/A</definedName>
    <definedName name="Slicer_quantity">#N/A</definedName>
    <definedName name="Slicer_rank">#N/A</definedName>
    <definedName name="Slicer_Region">#N/A</definedName>
    <definedName name="Slicer_region1">#N/A</definedName>
    <definedName name="Slicer_sale_date">#N/A</definedName>
    <definedName name="Slicer_STATUS">#N/A</definedName>
    <definedName name="Slicer_Status1">#N/A</definedName>
    <definedName name="Slicer_student_rank">#N/A</definedName>
    <definedName name="Slicer_subject_name">#N/A</definedName>
    <definedName name="Slicer_subject_name2">#N/A</definedName>
    <definedName name="Slicer_Top_student">#N/A</definedName>
    <definedName name="Slicer_Top_student_score">#N/A</definedName>
    <definedName name="Slicer_transaction_date">#N/A</definedName>
    <definedName name="Slicer_txn_date">#N/A</definedName>
    <definedName name="Slicer_txn_id">#N/A</definedName>
    <definedName name="Slicer_txn_type">#N/A</definedName>
  </definedNames>
  <calcPr calcId="191029"/>
  <pivotCaches>
    <pivotCache cacheId="0" r:id="rId24"/>
    <pivotCache cacheId="1" r:id="rId25"/>
    <pivotCache cacheId="2" r:id="rId26"/>
    <pivotCache cacheId="3" r:id="rId27"/>
    <pivotCache cacheId="4" r:id="rId28"/>
    <pivotCache cacheId="5" r:id="rId29"/>
  </pivotCaches>
  <extLst>
    <ext xmlns:x14="http://schemas.microsoft.com/office/spreadsheetml/2009/9/main" uri="{876F7934-8845-4945-9796-88D515C7AA90}">
      <x14:pivotCaches>
        <pivotCache cacheId="6" r:id="rId30"/>
        <pivotCache cacheId="7" r:id="rId31"/>
        <pivotCache cacheId="8" r:id="rId32"/>
        <pivotCache cacheId="9" r:id="rId33"/>
        <pivotCache cacheId="10" r:id="rId34"/>
        <pivotCache cacheId="11" r:id="rId35"/>
        <pivotCache cacheId="12" r:id="rId36"/>
        <pivotCache cacheId="13" r:id="rId37"/>
        <pivotCache cacheId="14" r:id="rId38"/>
        <pivotCache cacheId="15" r:id="rId39"/>
      </x14:pivotCaches>
    </ext>
    <ext xmlns:x14="http://schemas.microsoft.com/office/spreadsheetml/2009/9/main" uri="{BBE1A952-AA13-448e-AADC-164F8A28A991}">
      <x14:slicerCaches>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 r:id="rId65"/>
        <x14:slicerCache r:id="rId66"/>
        <x14:slicerCache r:id="rId67"/>
        <x14:slicerCache r:id="rId68"/>
        <x14:slicerCache r:id="rId69"/>
        <x14:slicerCache r:id="rId70"/>
        <x14:slicerCache r:id="rId71"/>
        <x14:slicerCache r:id="rId72"/>
        <x14:slicerCache r:id="rId73"/>
        <x14:slicerCache r:id="rId74"/>
        <x14:slicerCache r:id="rId75"/>
        <x14:slicerCache r:id="rId76"/>
        <x14:slicerCache r:id="rId77"/>
        <x14:slicerCache r:id="rId78"/>
        <x14:slicerCache r:id="rId79"/>
        <x14:slicerCache r:id="rId80"/>
        <x14:slicerCache r:id="rId81"/>
        <x14:slicerCache r:id="rId82"/>
        <x14:slicerCache r:id="rId8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47" l="1"/>
  <c r="I4" i="47"/>
  <c r="I5" i="47"/>
  <c r="I6" i="47"/>
  <c r="I7" i="47"/>
  <c r="I8" i="47"/>
  <c r="I9" i="47"/>
  <c r="I10" i="47"/>
  <c r="I11" i="47"/>
  <c r="I12" i="47"/>
  <c r="I13" i="47"/>
  <c r="I14" i="47"/>
  <c r="I15" i="47"/>
  <c r="I16" i="47"/>
  <c r="I17" i="47"/>
  <c r="I18" i="47"/>
  <c r="I19" i="47"/>
  <c r="I20" i="47"/>
  <c r="I21" i="47"/>
  <c r="I22" i="47"/>
  <c r="I23" i="47"/>
  <c r="I24" i="47"/>
  <c r="I25" i="47"/>
  <c r="I26" i="47"/>
  <c r="I27" i="47"/>
  <c r="I28" i="47"/>
  <c r="I29" i="47"/>
  <c r="I30" i="47"/>
  <c r="I31" i="47"/>
  <c r="I32" i="47"/>
  <c r="I33" i="47"/>
  <c r="I34" i="47"/>
  <c r="I35" i="47"/>
  <c r="I36" i="47"/>
  <c r="I37" i="47"/>
  <c r="I38" i="47"/>
  <c r="I39" i="47"/>
  <c r="I40" i="47"/>
  <c r="I41" i="47"/>
  <c r="I42" i="47"/>
  <c r="I43" i="47"/>
  <c r="I44" i="47"/>
  <c r="I45" i="47"/>
  <c r="I46" i="47"/>
  <c r="I47" i="47"/>
  <c r="I48" i="47"/>
  <c r="I49" i="47"/>
  <c r="I50" i="47"/>
  <c r="I51" i="47"/>
  <c r="I2" i="47"/>
  <c r="J3" i="47"/>
  <c r="J4" i="47"/>
  <c r="J5" i="47"/>
  <c r="J6" i="47"/>
  <c r="J7" i="47"/>
  <c r="J8" i="47"/>
  <c r="J9" i="47"/>
  <c r="J10" i="47"/>
  <c r="J11" i="47"/>
  <c r="J12" i="47"/>
  <c r="J13" i="47"/>
  <c r="J14" i="47"/>
  <c r="J15" i="47"/>
  <c r="J16" i="47"/>
  <c r="J17" i="47"/>
  <c r="J18" i="47"/>
  <c r="J19" i="47"/>
  <c r="J20" i="47"/>
  <c r="J21" i="47"/>
  <c r="J22" i="47"/>
  <c r="J23" i="47"/>
  <c r="J24" i="47"/>
  <c r="J25" i="47"/>
  <c r="J26" i="47"/>
  <c r="J27" i="47"/>
  <c r="J28" i="47"/>
  <c r="J29" i="47"/>
  <c r="J30" i="47"/>
  <c r="J31" i="47"/>
  <c r="J32" i="47"/>
  <c r="J33" i="47"/>
  <c r="J34" i="47"/>
  <c r="J35" i="47"/>
  <c r="J36" i="47"/>
  <c r="J37" i="47"/>
  <c r="J38" i="47"/>
  <c r="J39" i="47"/>
  <c r="J40" i="47"/>
  <c r="J41" i="47"/>
  <c r="J42" i="47"/>
  <c r="J43" i="47"/>
  <c r="J44" i="47"/>
  <c r="J45" i="47"/>
  <c r="J46" i="47"/>
  <c r="J47" i="47"/>
  <c r="J48" i="47"/>
  <c r="J49" i="47"/>
  <c r="J50" i="47"/>
  <c r="J51" i="47"/>
  <c r="J2" i="47"/>
  <c r="E16" i="29"/>
  <c r="G22" i="42"/>
  <c r="H22" i="42"/>
  <c r="H3" i="42"/>
  <c r="H4" i="42"/>
  <c r="H5" i="42"/>
  <c r="H6" i="42"/>
  <c r="H7" i="42"/>
  <c r="H8" i="42"/>
  <c r="H9" i="42"/>
  <c r="H10" i="42"/>
  <c r="H11" i="42"/>
  <c r="H12" i="42"/>
  <c r="H13" i="42"/>
  <c r="H14" i="42"/>
  <c r="H15" i="42"/>
  <c r="H16" i="42"/>
  <c r="H17" i="42"/>
  <c r="H18" i="42"/>
  <c r="H19" i="42"/>
  <c r="H20" i="42"/>
  <c r="H21" i="42"/>
  <c r="H2" i="42"/>
  <c r="E22" i="42"/>
  <c r="L16" i="6"/>
  <c r="L17" i="6"/>
  <c r="L18" i="6"/>
  <c r="L19" i="6"/>
  <c r="L20" i="6"/>
  <c r="L21" i="6"/>
  <c r="L15" i="6"/>
  <c r="M7" i="6"/>
  <c r="N7" i="6"/>
  <c r="O7" i="6"/>
  <c r="P7" i="6"/>
  <c r="Q7" i="6"/>
  <c r="L7" i="6"/>
  <c r="B19" i="6"/>
  <c r="C19" i="6" s="1"/>
  <c r="D19" i="6" s="1"/>
  <c r="E19" i="6" s="1"/>
  <c r="F19" i="6" s="1"/>
  <c r="G19" i="6" s="1"/>
  <c r="B20" i="6"/>
  <c r="C20" i="6" s="1"/>
  <c r="D20" i="6" s="1"/>
  <c r="E20" i="6" s="1"/>
  <c r="F20" i="6" s="1"/>
  <c r="G20" i="6" s="1"/>
  <c r="H20" i="6" s="1"/>
  <c r="B21" i="6"/>
  <c r="C21" i="6" s="1"/>
  <c r="D21" i="6" s="1"/>
  <c r="E21" i="6" s="1"/>
  <c r="F21" i="6" s="1"/>
  <c r="G21" i="6" s="1"/>
  <c r="B22" i="6"/>
  <c r="C22" i="6" s="1"/>
  <c r="D22" i="6" s="1"/>
  <c r="E22" i="6" s="1"/>
  <c r="F22" i="6" s="1"/>
  <c r="G22" i="6" s="1"/>
  <c r="B23" i="6"/>
  <c r="C23" i="6" s="1"/>
  <c r="D23" i="6" s="1"/>
  <c r="E23" i="6" s="1"/>
  <c r="F23" i="6" s="1"/>
  <c r="G23" i="6" s="1"/>
  <c r="B24" i="6"/>
  <c r="C24" i="6" s="1"/>
  <c r="D24" i="6" s="1"/>
  <c r="E24" i="6" s="1"/>
  <c r="F24" i="6" s="1"/>
  <c r="G24" i="6" s="1"/>
  <c r="H24" i="6" s="1"/>
  <c r="B25" i="6"/>
  <c r="C25" i="6" s="1"/>
  <c r="D25" i="6" s="1"/>
  <c r="E25" i="6" s="1"/>
  <c r="F25" i="6" s="1"/>
  <c r="G25" i="6" s="1"/>
  <c r="B26" i="6"/>
  <c r="C26" i="6" s="1"/>
  <c r="D26" i="6" s="1"/>
  <c r="E26" i="6" s="1"/>
  <c r="F26" i="6" s="1"/>
  <c r="G26" i="6" s="1"/>
  <c r="B27" i="6"/>
  <c r="C27" i="6" s="1"/>
  <c r="D27" i="6" s="1"/>
  <c r="E27" i="6" s="1"/>
  <c r="F27" i="6" s="1"/>
  <c r="G27" i="6" s="1"/>
  <c r="B18" i="6"/>
  <c r="C18" i="6" s="1"/>
  <c r="D18" i="6" s="1"/>
  <c r="E18" i="6" s="1"/>
  <c r="F18" i="6" s="1"/>
  <c r="G18" i="6" s="1"/>
  <c r="H18" i="6" s="1"/>
  <c r="H3" i="6"/>
  <c r="H4" i="6"/>
  <c r="H5" i="6"/>
  <c r="H6" i="6"/>
  <c r="H7" i="6"/>
  <c r="H8" i="6"/>
  <c r="H9" i="6"/>
  <c r="H10" i="6"/>
  <c r="H11" i="6"/>
  <c r="D24" i="34"/>
  <c r="D22" i="34"/>
  <c r="A22" i="34"/>
  <c r="D25" i="34"/>
  <c r="C22" i="34"/>
  <c r="O3" i="33"/>
  <c r="O4" i="33"/>
  <c r="O5" i="33"/>
  <c r="O6" i="33"/>
  <c r="O7" i="33"/>
  <c r="O8" i="33"/>
  <c r="O9" i="33"/>
  <c r="O10" i="33"/>
  <c r="O16" i="33"/>
  <c r="O11" i="33"/>
  <c r="O17" i="33"/>
  <c r="O18" i="33"/>
  <c r="O12" i="33"/>
  <c r="O19" i="33"/>
  <c r="O13" i="33"/>
  <c r="O14" i="33"/>
  <c r="O15" i="33"/>
  <c r="O2" i="33"/>
  <c r="G20" i="33"/>
  <c r="U9" i="33"/>
  <c r="H27" i="6" l="1"/>
  <c r="H19" i="6"/>
  <c r="H26" i="6"/>
  <c r="H22" i="6"/>
  <c r="R7" i="6"/>
  <c r="H25" i="6"/>
  <c r="H21" i="6"/>
  <c r="H23" i="6"/>
</calcChain>
</file>

<file path=xl/sharedStrings.xml><?xml version="1.0" encoding="utf-8"?>
<sst xmlns="http://schemas.openxmlformats.org/spreadsheetml/2006/main" count="4578" uniqueCount="1964">
  <si>
    <t>Rakib</t>
  </si>
  <si>
    <t>Tamim</t>
  </si>
  <si>
    <t>Date</t>
  </si>
  <si>
    <t>SL No</t>
  </si>
  <si>
    <t>Arafat</t>
  </si>
  <si>
    <t>Weeks</t>
  </si>
  <si>
    <t>Focus Area</t>
  </si>
  <si>
    <t>Key Goals</t>
  </si>
  <si>
    <t>1–4</t>
  </si>
  <si>
    <t>Excel Fundamentals &amp; Data Concepts</t>
  </si>
  <si>
    <t>5–8</t>
  </si>
  <si>
    <t>SQL &amp; Data Handling</t>
  </si>
  <si>
    <t>Master SELECT, WHERE, JOIN, GROUP BY, HAVING, subqueries; build and query a sample database (softloom, Scribd)</t>
  </si>
  <si>
    <t>9–12</t>
  </si>
  <si>
    <t>Python for Data Analysis</t>
  </si>
  <si>
    <t>Learn Python basics (variables, loops, functions); use Pandas, NumPy, Matplotlib/Seaborn for data manipulation and visualization (softloom, Scribd)</t>
  </si>
  <si>
    <t>13–16</t>
  </si>
  <si>
    <t>Data Visualization Tools</t>
  </si>
  <si>
    <t>Use Power BI or Tableau to build interactive dashboards; practice storytelling with data (softloom, Scribd)</t>
  </si>
  <si>
    <t>17–20</t>
  </si>
  <si>
    <t>Statistics &amp; Interpretation</t>
  </si>
  <si>
    <t>Learn descriptive stats (mean, median, variance), distributions, hypothesis testing, correlation, regression analysis (Scribd)</t>
  </si>
  <si>
    <t>21–24</t>
  </si>
  <si>
    <t>Capstone Projects &amp; Portfolio</t>
  </si>
  <si>
    <t>Execute end-to-end projects: clean data, analyze, visualize, and present; publish to GitHub or Kaggle and craft portfolio (softloom, Scribd)</t>
  </si>
  <si>
    <t>Siddik</t>
  </si>
  <si>
    <t>DATA TYPES AND CONSTRAINS IN SQL</t>
  </si>
  <si>
    <t>Numeric Data Types</t>
  </si>
  <si>
    <t xml:space="preserve">Data Type </t>
  </si>
  <si>
    <t>Description</t>
  </si>
  <si>
    <t>Example</t>
  </si>
  <si>
    <t xml:space="preserve">INTEGER </t>
  </si>
  <si>
    <t>SERIAL</t>
  </si>
  <si>
    <t>BIGINT</t>
  </si>
  <si>
    <t>NUMERIC(p.s)</t>
  </si>
  <si>
    <t xml:space="preserve"> REAL</t>
  </si>
  <si>
    <t>DOUBLEPRECISION</t>
  </si>
  <si>
    <t>Stores whole numbers.</t>
  </si>
  <si>
    <t>Auto-incrementing integer</t>
  </si>
  <si>
    <t>Stores large integer</t>
  </si>
  <si>
    <t>Stores exact numbers with precision(P)and seale(s).</t>
  </si>
  <si>
    <t>Stores floating-point numbers (single precision).</t>
  </si>
  <si>
    <t>Stores double -precision floating-point numbers</t>
  </si>
  <si>
    <t>Employee IDs,Age</t>
  </si>
  <si>
    <t>Primary key auto-increment</t>
  </si>
  <si>
    <t>population,lage counts</t>
  </si>
  <si>
    <t>Finacial data(salary)</t>
  </si>
  <si>
    <t>scientific calculation</t>
  </si>
  <si>
    <t>High -precision company</t>
  </si>
  <si>
    <t>Character Data Types</t>
  </si>
  <si>
    <t>Data Type</t>
  </si>
  <si>
    <t>Example Use</t>
  </si>
  <si>
    <t>CHAR (n)</t>
  </si>
  <si>
    <t>VARCHAR(n)</t>
  </si>
  <si>
    <t>TEXT</t>
  </si>
  <si>
    <t>Unlimited-length string.</t>
  </si>
  <si>
    <t>Description Comments</t>
  </si>
  <si>
    <t>Fixed-length string of n characters.</t>
  </si>
  <si>
    <t>Variable-length string up to n characters.</t>
  </si>
  <si>
    <t>Employee codes</t>
  </si>
  <si>
    <t>Names,Email,addresses</t>
  </si>
  <si>
    <t>example</t>
  </si>
  <si>
    <t>CREATE TEBLE products( product_id SERIAL PRIMARY KEY,</t>
  </si>
  <si>
    <t xml:space="preserve">name VARCHAR(50),description TEXT ); </t>
  </si>
  <si>
    <t>Date and Time Data Types</t>
  </si>
  <si>
    <t>Descirption</t>
  </si>
  <si>
    <t>DATE</t>
  </si>
  <si>
    <t>TIME</t>
  </si>
  <si>
    <t>TIMESTAMP</t>
  </si>
  <si>
    <t>TIMESTAMPTZ</t>
  </si>
  <si>
    <t>INTERVAL</t>
  </si>
  <si>
    <t>Stores date (year,month,day)</t>
  </si>
  <si>
    <t>Stores time (hour, minute,second).</t>
  </si>
  <si>
    <t>stores date and time</t>
  </si>
  <si>
    <t>stores date and time with timezone info.</t>
  </si>
  <si>
    <t>stores duration of time.</t>
  </si>
  <si>
    <t xml:space="preserve">Birthdate, Hire date </t>
  </si>
  <si>
    <t>Appointment times</t>
  </si>
  <si>
    <t>Order timestam</t>
  </si>
  <si>
    <t>Global event to</t>
  </si>
  <si>
    <t>Duration between</t>
  </si>
  <si>
    <t>Boolean Data Typ</t>
  </si>
  <si>
    <t>Stores TRUE,FALSE,or NULL.</t>
  </si>
  <si>
    <t>Flags,Active status</t>
  </si>
  <si>
    <t>Name</t>
  </si>
  <si>
    <t>Month</t>
  </si>
  <si>
    <t xml:space="preserve">ID </t>
  </si>
  <si>
    <t>Day</t>
  </si>
  <si>
    <t>Sales Value1</t>
  </si>
  <si>
    <t>Sales Value2</t>
  </si>
  <si>
    <t>Abu Bakker</t>
  </si>
  <si>
    <t>Shoan</t>
  </si>
  <si>
    <t>Rana</t>
  </si>
  <si>
    <t>Shakib</t>
  </si>
  <si>
    <t>Somun</t>
  </si>
  <si>
    <t>Rohan</t>
  </si>
  <si>
    <t>January</t>
  </si>
  <si>
    <t>February</t>
  </si>
  <si>
    <t>March</t>
  </si>
  <si>
    <t>April</t>
  </si>
  <si>
    <t>May</t>
  </si>
  <si>
    <t>June</t>
  </si>
  <si>
    <t>July</t>
  </si>
  <si>
    <t>August</t>
  </si>
  <si>
    <t>September</t>
  </si>
  <si>
    <t>October</t>
  </si>
  <si>
    <t>Saturday</t>
  </si>
  <si>
    <t>Sunday</t>
  </si>
  <si>
    <t>Monday</t>
  </si>
  <si>
    <t>Tuesday</t>
  </si>
  <si>
    <t>Wednesday</t>
  </si>
  <si>
    <t>Thursday</t>
  </si>
  <si>
    <t>Friday</t>
  </si>
  <si>
    <t>Bonus(yes/No)</t>
  </si>
  <si>
    <t>Sumon</t>
  </si>
  <si>
    <t>Row Labels</t>
  </si>
  <si>
    <t>Grand Total</t>
  </si>
  <si>
    <t>Sum of Sales Value1</t>
  </si>
  <si>
    <t>Column Labels</t>
  </si>
  <si>
    <t>Sum of Sales Value2</t>
  </si>
  <si>
    <t>Average of Sales Value2</t>
  </si>
  <si>
    <t>Average of Sales Value1</t>
  </si>
  <si>
    <t>Arafat Hossen</t>
  </si>
  <si>
    <t>Rahim Uddin</t>
  </si>
  <si>
    <t>HR</t>
  </si>
  <si>
    <t>Present</t>
  </si>
  <si>
    <t>Karim Ahmed</t>
  </si>
  <si>
    <t>Finance</t>
  </si>
  <si>
    <t>Absent</t>
  </si>
  <si>
    <t>Ayesha Khan</t>
  </si>
  <si>
    <t>IT</t>
  </si>
  <si>
    <t>Tanvir Hasan</t>
  </si>
  <si>
    <t>Marketing</t>
  </si>
  <si>
    <t>Nusrat Jahan</t>
  </si>
  <si>
    <t>Sabbir Hossain</t>
  </si>
  <si>
    <t>Sales</t>
  </si>
  <si>
    <t>Farhana Akter</t>
  </si>
  <si>
    <t>Mahmudul Islam</t>
  </si>
  <si>
    <t>Shila Rahman</t>
  </si>
  <si>
    <t>Arif Chowdhury</t>
  </si>
  <si>
    <t>Department</t>
  </si>
  <si>
    <t>Hire_date</t>
  </si>
  <si>
    <t>Salary</t>
  </si>
  <si>
    <t>Status</t>
  </si>
  <si>
    <t>Jan</t>
  </si>
  <si>
    <t>Feb</t>
  </si>
  <si>
    <t>Mar</t>
  </si>
  <si>
    <t>Apr</t>
  </si>
  <si>
    <t>Male</t>
  </si>
  <si>
    <t>Data Analyst</t>
  </si>
  <si>
    <t>Active</t>
  </si>
  <si>
    <t>Better career opportunity</t>
  </si>
  <si>
    <t>Female</t>
  </si>
  <si>
    <t>Accountant</t>
  </si>
  <si>
    <t>Low salary</t>
  </si>
  <si>
    <t>Sadia Islam</t>
  </si>
  <si>
    <t>Marketing Officer</t>
  </si>
  <si>
    <t>Work-life balance issues</t>
  </si>
  <si>
    <t>Software Engineer</t>
  </si>
  <si>
    <t>Higher studies</t>
  </si>
  <si>
    <t>Late</t>
  </si>
  <si>
    <t>Hasan Mahmud</t>
  </si>
  <si>
    <t>Operations</t>
  </si>
  <si>
    <t>Operations Manager</t>
  </si>
  <si>
    <t>Relocation</t>
  </si>
  <si>
    <t>Anika Sultana</t>
  </si>
  <si>
    <t>Business Analyst</t>
  </si>
  <si>
    <t>Job dissatisfaction</t>
  </si>
  <si>
    <t>Imran Hossain</t>
  </si>
  <si>
    <t>Financial Analyst</t>
  </si>
  <si>
    <t>Performance pressure</t>
  </si>
  <si>
    <t>Tania Ahmed</t>
  </si>
  <si>
    <t>HR Manager</t>
  </si>
  <si>
    <t>Career change</t>
  </si>
  <si>
    <t>Rafiul Islam</t>
  </si>
  <si>
    <t>Sales Manager</t>
  </si>
  <si>
    <t>Better compensation offer</t>
  </si>
  <si>
    <t>Jannatul Ferdous</t>
  </si>
  <si>
    <t>Customer Support</t>
  </si>
  <si>
    <t>Support Officer</t>
  </si>
  <si>
    <t>Family issues</t>
  </si>
  <si>
    <t>Nazmul Huda</t>
  </si>
  <si>
    <t>System Administrator</t>
  </si>
  <si>
    <t>Lack of growth opportunities</t>
  </si>
  <si>
    <t>Mahbub Alam</t>
  </si>
  <si>
    <t>Logistics Officer</t>
  </si>
  <si>
    <t>Resigned</t>
  </si>
  <si>
    <t>Management issues</t>
  </si>
  <si>
    <t>Sumi Akter</t>
  </si>
  <si>
    <t>Content Specialist</t>
  </si>
  <si>
    <t>Work environment</t>
  </si>
  <si>
    <t>Fahim Chowdhury</t>
  </si>
  <si>
    <t>Audit Officer</t>
  </si>
  <si>
    <t>Job security concerns</t>
  </si>
  <si>
    <t>Anwar Hossain</t>
  </si>
  <si>
    <t>Sales Representative</t>
  </si>
  <si>
    <t>Shift timing issues</t>
  </si>
  <si>
    <t>Rumana Karim</t>
  </si>
  <si>
    <t>Recruitment Officer</t>
  </si>
  <si>
    <t>Career advancement</t>
  </si>
  <si>
    <t>Shakib Hasan</t>
  </si>
  <si>
    <t>Database Administrator</t>
  </si>
  <si>
    <t>Retirement</t>
  </si>
  <si>
    <t>Mst. Farzana Begum</t>
  </si>
  <si>
    <t>Team Lead</t>
  </si>
  <si>
    <t>Personal business</t>
  </si>
  <si>
    <t>emp_id</t>
  </si>
  <si>
    <t>name</t>
  </si>
  <si>
    <t>gender</t>
  </si>
  <si>
    <t>department</t>
  </si>
  <si>
    <t>job_title</t>
  </si>
  <si>
    <t>hire_date</t>
  </si>
  <si>
    <t>date</t>
  </si>
  <si>
    <t>status</t>
  </si>
  <si>
    <t>review_date</t>
  </si>
  <si>
    <t>rating</t>
  </si>
  <si>
    <t>resign_date</t>
  </si>
  <si>
    <t>reason</t>
  </si>
  <si>
    <t>Total_employee</t>
  </si>
  <si>
    <t>avg_salary</t>
  </si>
  <si>
    <t>employee_name</t>
  </si>
  <si>
    <t>Top_10_performence</t>
  </si>
  <si>
    <t>over time</t>
  </si>
  <si>
    <t>Product_495</t>
  </si>
  <si>
    <t>Product_345</t>
  </si>
  <si>
    <t>Product_295</t>
  </si>
  <si>
    <t>Product_95</t>
  </si>
  <si>
    <t>Product_145</t>
  </si>
  <si>
    <t>Product_395</t>
  </si>
  <si>
    <t>Product_245</t>
  </si>
  <si>
    <t>Product_195</t>
  </si>
  <si>
    <t>Product_445</t>
  </si>
  <si>
    <t>Product_45</t>
  </si>
  <si>
    <t>Product_190</t>
  </si>
  <si>
    <t>Product_390</t>
  </si>
  <si>
    <t>Product_290</t>
  </si>
  <si>
    <t>Product_240</t>
  </si>
  <si>
    <t>Product_340</t>
  </si>
  <si>
    <t>Product_40</t>
  </si>
  <si>
    <t>Product_90</t>
  </si>
  <si>
    <t>Product_490</t>
  </si>
  <si>
    <t>Product_140</t>
  </si>
  <si>
    <t>Product_440</t>
  </si>
  <si>
    <t>North</t>
  </si>
  <si>
    <t>Central</t>
  </si>
  <si>
    <t>West</t>
  </si>
  <si>
    <t>East</t>
  </si>
  <si>
    <t>South</t>
  </si>
  <si>
    <t>Customer_3</t>
  </si>
  <si>
    <t>Product_2</t>
  </si>
  <si>
    <t>Grocery</t>
  </si>
  <si>
    <t>customer3@example.com</t>
  </si>
  <si>
    <t>Rajshahi</t>
  </si>
  <si>
    <t>Customer_4</t>
  </si>
  <si>
    <t>Product_3</t>
  </si>
  <si>
    <t>Furniture</t>
  </si>
  <si>
    <t>customer4@example.com</t>
  </si>
  <si>
    <t>Sylhet</t>
  </si>
  <si>
    <t>Customer_5</t>
  </si>
  <si>
    <t>Product_4</t>
  </si>
  <si>
    <t>Accessories</t>
  </si>
  <si>
    <t>customer5@example.com</t>
  </si>
  <si>
    <t>Dhaka</t>
  </si>
  <si>
    <t>Customer_6</t>
  </si>
  <si>
    <t>Product_5</t>
  </si>
  <si>
    <t>Electronics</t>
  </si>
  <si>
    <t>customer6@example.com</t>
  </si>
  <si>
    <t>Chittagong</t>
  </si>
  <si>
    <t>Customer_7</t>
  </si>
  <si>
    <t>Product_6</t>
  </si>
  <si>
    <t>Clothing</t>
  </si>
  <si>
    <t>customer7@example.com</t>
  </si>
  <si>
    <t>Khulna</t>
  </si>
  <si>
    <t>Customer_8</t>
  </si>
  <si>
    <t>Product_7</t>
  </si>
  <si>
    <t>customer8@example.com</t>
  </si>
  <si>
    <t>Customer_9</t>
  </si>
  <si>
    <t>Product_8</t>
  </si>
  <si>
    <t>customer9@example.com</t>
  </si>
  <si>
    <t>Customer_10</t>
  </si>
  <si>
    <t>Product_9</t>
  </si>
  <si>
    <t>customer10@example.com</t>
  </si>
  <si>
    <t>Customer_11</t>
  </si>
  <si>
    <t>Product_10</t>
  </si>
  <si>
    <t>customer11@example.com</t>
  </si>
  <si>
    <t>Customer_12</t>
  </si>
  <si>
    <t>Product_11</t>
  </si>
  <si>
    <t>customer12@example.com</t>
  </si>
  <si>
    <t>Customer_13</t>
  </si>
  <si>
    <t>Product_12</t>
  </si>
  <si>
    <t>customer13@example.com</t>
  </si>
  <si>
    <t>Customer_14</t>
  </si>
  <si>
    <t>Product_13</t>
  </si>
  <si>
    <t>customer14@example.com</t>
  </si>
  <si>
    <t>Customer_15</t>
  </si>
  <si>
    <t>Product_14</t>
  </si>
  <si>
    <t>customer15@example.com</t>
  </si>
  <si>
    <t>Customer_16</t>
  </si>
  <si>
    <t>Product_15</t>
  </si>
  <si>
    <t>customer16@example.com</t>
  </si>
  <si>
    <t>Customer_17</t>
  </si>
  <si>
    <t>Product_16</t>
  </si>
  <si>
    <t>customer17@example.com</t>
  </si>
  <si>
    <t>Customer_18</t>
  </si>
  <si>
    <t>Product_17</t>
  </si>
  <si>
    <t>customer18@example.com</t>
  </si>
  <si>
    <t>Customer_19</t>
  </si>
  <si>
    <t>Product_18</t>
  </si>
  <si>
    <t>customer19@example.com</t>
  </si>
  <si>
    <t>Customer_20</t>
  </si>
  <si>
    <t>Product_19</t>
  </si>
  <si>
    <t>customer20@example.com</t>
  </si>
  <si>
    <t>Customer_21</t>
  </si>
  <si>
    <t>Product_20</t>
  </si>
  <si>
    <t>customer21@example.com</t>
  </si>
  <si>
    <t>Customer_22</t>
  </si>
  <si>
    <t>Product_21</t>
  </si>
  <si>
    <t>customer22@example.com</t>
  </si>
  <si>
    <t>Customer_23</t>
  </si>
  <si>
    <t>Product_22</t>
  </si>
  <si>
    <t>customer23@example.com</t>
  </si>
  <si>
    <t>Customer_24</t>
  </si>
  <si>
    <t>Product_23</t>
  </si>
  <si>
    <t>customer24@example.com</t>
  </si>
  <si>
    <t>Customer_25</t>
  </si>
  <si>
    <t>Product_24</t>
  </si>
  <si>
    <t>customer25@example.com</t>
  </si>
  <si>
    <t>Customer_26</t>
  </si>
  <si>
    <t>Product_25</t>
  </si>
  <si>
    <t>customer26@example.com</t>
  </si>
  <si>
    <t>Customer_27</t>
  </si>
  <si>
    <t>Product_26</t>
  </si>
  <si>
    <t>customer27@example.com</t>
  </si>
  <si>
    <t>Customer_28</t>
  </si>
  <si>
    <t>Product_27</t>
  </si>
  <si>
    <t>customer28@example.com</t>
  </si>
  <si>
    <t>Customer_29</t>
  </si>
  <si>
    <t>Product_28</t>
  </si>
  <si>
    <t>customer29@example.com</t>
  </si>
  <si>
    <t>Customer_30</t>
  </si>
  <si>
    <t>Product_29</t>
  </si>
  <si>
    <t>customer30@example.com</t>
  </si>
  <si>
    <t>Customer_31</t>
  </si>
  <si>
    <t>Product_30</t>
  </si>
  <si>
    <t>customer31@example.com</t>
  </si>
  <si>
    <t>Customer_32</t>
  </si>
  <si>
    <t>Product_31</t>
  </si>
  <si>
    <t>customer32@example.com</t>
  </si>
  <si>
    <t>Customer_33</t>
  </si>
  <si>
    <t>Product_32</t>
  </si>
  <si>
    <t>customer33@example.com</t>
  </si>
  <si>
    <t>Customer_34</t>
  </si>
  <si>
    <t>Product_33</t>
  </si>
  <si>
    <t>customer34@example.com</t>
  </si>
  <si>
    <t>Customer_35</t>
  </si>
  <si>
    <t>Product_34</t>
  </si>
  <si>
    <t>customer35@example.com</t>
  </si>
  <si>
    <t>Customer_36</t>
  </si>
  <si>
    <t>Product_35</t>
  </si>
  <si>
    <t>customer36@example.com</t>
  </si>
  <si>
    <t>Customer_37</t>
  </si>
  <si>
    <t>Product_36</t>
  </si>
  <si>
    <t>customer37@example.com</t>
  </si>
  <si>
    <t>Customer_38</t>
  </si>
  <si>
    <t>Product_37</t>
  </si>
  <si>
    <t>customer38@example.com</t>
  </si>
  <si>
    <t>Customer_39</t>
  </si>
  <si>
    <t>Product_38</t>
  </si>
  <si>
    <t>customer39@example.com</t>
  </si>
  <si>
    <t>Customer_40</t>
  </si>
  <si>
    <t>Product_39</t>
  </si>
  <si>
    <t>customer40@example.com</t>
  </si>
  <si>
    <t>Customer_41</t>
  </si>
  <si>
    <t>customer41@example.com</t>
  </si>
  <si>
    <t>Customer_42</t>
  </si>
  <si>
    <t>Product_41</t>
  </si>
  <si>
    <t>customer42@example.com</t>
  </si>
  <si>
    <t>Customer_43</t>
  </si>
  <si>
    <t>Product_42</t>
  </si>
  <si>
    <t>customer43@example.com</t>
  </si>
  <si>
    <t>Customer_44</t>
  </si>
  <si>
    <t>Product_43</t>
  </si>
  <si>
    <t>customer44@example.com</t>
  </si>
  <si>
    <t>Customer_45</t>
  </si>
  <si>
    <t>Product_44</t>
  </si>
  <si>
    <t>customer45@example.com</t>
  </si>
  <si>
    <t>Customer_46</t>
  </si>
  <si>
    <t>customer46@example.com</t>
  </si>
  <si>
    <t>Customer_47</t>
  </si>
  <si>
    <t>Product_46</t>
  </si>
  <si>
    <t>customer47@example.com</t>
  </si>
  <si>
    <t>Customer_48</t>
  </si>
  <si>
    <t>Product_47</t>
  </si>
  <si>
    <t>customer48@example.com</t>
  </si>
  <si>
    <t>Customer_49</t>
  </si>
  <si>
    <t>Product_48</t>
  </si>
  <si>
    <t>customer49@example.com</t>
  </si>
  <si>
    <t>Customer_50</t>
  </si>
  <si>
    <t>Product_49</t>
  </si>
  <si>
    <t>customer50@example.com</t>
  </si>
  <si>
    <t>Customer_51</t>
  </si>
  <si>
    <t>Product_50</t>
  </si>
  <si>
    <t>customer51@example.com</t>
  </si>
  <si>
    <t>Customer_52</t>
  </si>
  <si>
    <t>Product_51</t>
  </si>
  <si>
    <t>customer52@example.com</t>
  </si>
  <si>
    <t>Customer_53</t>
  </si>
  <si>
    <t>Product_52</t>
  </si>
  <si>
    <t>customer53@example.com</t>
  </si>
  <si>
    <t>Customer_54</t>
  </si>
  <si>
    <t>Product_53</t>
  </si>
  <si>
    <t>customer54@example.com</t>
  </si>
  <si>
    <t>Customer_55</t>
  </si>
  <si>
    <t>Product_54</t>
  </si>
  <si>
    <t>customer55@example.com</t>
  </si>
  <si>
    <t>Customer_56</t>
  </si>
  <si>
    <t>Product_55</t>
  </si>
  <si>
    <t>customer56@example.com</t>
  </si>
  <si>
    <t>Customer_57</t>
  </si>
  <si>
    <t>Product_56</t>
  </si>
  <si>
    <t>customer57@example.com</t>
  </si>
  <si>
    <t>Customer_58</t>
  </si>
  <si>
    <t>Product_57</t>
  </si>
  <si>
    <t>customer58@example.com</t>
  </si>
  <si>
    <t>Customer_59</t>
  </si>
  <si>
    <t>Product_58</t>
  </si>
  <si>
    <t>customer59@example.com</t>
  </si>
  <si>
    <t>Customer_60</t>
  </si>
  <si>
    <t>Product_59</t>
  </si>
  <si>
    <t>customer60@example.com</t>
  </si>
  <si>
    <t>Customer_61</t>
  </si>
  <si>
    <t>Product_60</t>
  </si>
  <si>
    <t>customer61@example.com</t>
  </si>
  <si>
    <t>Customer_62</t>
  </si>
  <si>
    <t>Product_61</t>
  </si>
  <si>
    <t>customer62@example.com</t>
  </si>
  <si>
    <t>Customer_63</t>
  </si>
  <si>
    <t>Product_62</t>
  </si>
  <si>
    <t>customer63@example.com</t>
  </si>
  <si>
    <t>Customer_64</t>
  </si>
  <si>
    <t>Product_63</t>
  </si>
  <si>
    <t>customer64@example.com</t>
  </si>
  <si>
    <t>Customer_65</t>
  </si>
  <si>
    <t>Product_64</t>
  </si>
  <si>
    <t>customer65@example.com</t>
  </si>
  <si>
    <t>Customer_66</t>
  </si>
  <si>
    <t>Product_65</t>
  </si>
  <si>
    <t>customer66@example.com</t>
  </si>
  <si>
    <t>Customer_67</t>
  </si>
  <si>
    <t>Product_66</t>
  </si>
  <si>
    <t>customer67@example.com</t>
  </si>
  <si>
    <t>Customer_68</t>
  </si>
  <si>
    <t>Product_67</t>
  </si>
  <si>
    <t>customer68@example.com</t>
  </si>
  <si>
    <t>Customer_69</t>
  </si>
  <si>
    <t>Product_68</t>
  </si>
  <si>
    <t>customer69@example.com</t>
  </si>
  <si>
    <t>Customer_70</t>
  </si>
  <si>
    <t>Product_69</t>
  </si>
  <si>
    <t>customer70@example.com</t>
  </si>
  <si>
    <t>Customer_71</t>
  </si>
  <si>
    <t>Product_70</t>
  </si>
  <si>
    <t>customer71@example.com</t>
  </si>
  <si>
    <t>Customer_72</t>
  </si>
  <si>
    <t>Product_71</t>
  </si>
  <si>
    <t>customer72@example.com</t>
  </si>
  <si>
    <t>Customer_73</t>
  </si>
  <si>
    <t>Product_72</t>
  </si>
  <si>
    <t>customer73@example.com</t>
  </si>
  <si>
    <t>Customer_74</t>
  </si>
  <si>
    <t>Product_73</t>
  </si>
  <si>
    <t>customer74@example.com</t>
  </si>
  <si>
    <t>Customer_75</t>
  </si>
  <si>
    <t>Product_74</t>
  </si>
  <si>
    <t>customer75@example.com</t>
  </si>
  <si>
    <t>Customer_76</t>
  </si>
  <si>
    <t>Product_75</t>
  </si>
  <si>
    <t>customer76@example.com</t>
  </si>
  <si>
    <t>Customer_77</t>
  </si>
  <si>
    <t>Product_76</t>
  </si>
  <si>
    <t>customer77@example.com</t>
  </si>
  <si>
    <t>Customer_78</t>
  </si>
  <si>
    <t>Product_77</t>
  </si>
  <si>
    <t>customer78@example.com</t>
  </si>
  <si>
    <t>Customer_79</t>
  </si>
  <si>
    <t>Product_78</t>
  </si>
  <si>
    <t>customer79@example.com</t>
  </si>
  <si>
    <t>Customer_80</t>
  </si>
  <si>
    <t>Product_79</t>
  </si>
  <si>
    <t>customer80@example.com</t>
  </si>
  <si>
    <t>Customer_81</t>
  </si>
  <si>
    <t>Product_80</t>
  </si>
  <si>
    <t>customer81@example.com</t>
  </si>
  <si>
    <t>Customer_82</t>
  </si>
  <si>
    <t>Product_81</t>
  </si>
  <si>
    <t>customer82@example.com</t>
  </si>
  <si>
    <t>Customer_83</t>
  </si>
  <si>
    <t>Product_82</t>
  </si>
  <si>
    <t>customer83@example.com</t>
  </si>
  <si>
    <t>Customer_84</t>
  </si>
  <si>
    <t>Product_83</t>
  </si>
  <si>
    <t>customer84@example.com</t>
  </si>
  <si>
    <t>Customer_85</t>
  </si>
  <si>
    <t>Product_84</t>
  </si>
  <si>
    <t>customer85@example.com</t>
  </si>
  <si>
    <t>Customer_86</t>
  </si>
  <si>
    <t>Product_85</t>
  </si>
  <si>
    <t>customer86@example.com</t>
  </si>
  <si>
    <t>Customer_87</t>
  </si>
  <si>
    <t>Product_86</t>
  </si>
  <si>
    <t>customer87@example.com</t>
  </si>
  <si>
    <t>Customer_88</t>
  </si>
  <si>
    <t>Product_87</t>
  </si>
  <si>
    <t>customer88@example.com</t>
  </si>
  <si>
    <t>Customer_89</t>
  </si>
  <si>
    <t>Product_88</t>
  </si>
  <si>
    <t>customer89@example.com</t>
  </si>
  <si>
    <t>Customer_90</t>
  </si>
  <si>
    <t>Product_89</t>
  </si>
  <si>
    <t>customer90@example.com</t>
  </si>
  <si>
    <t>Customer_91</t>
  </si>
  <si>
    <t>customer91@example.com</t>
  </si>
  <si>
    <t>Customer_92</t>
  </si>
  <si>
    <t>Product_91</t>
  </si>
  <si>
    <t>customer92@example.com</t>
  </si>
  <si>
    <t>Customer_93</t>
  </si>
  <si>
    <t>Product_92</t>
  </si>
  <si>
    <t>customer93@example.com</t>
  </si>
  <si>
    <t>Customer_94</t>
  </si>
  <si>
    <t>Product_93</t>
  </si>
  <si>
    <t>customer94@example.com</t>
  </si>
  <si>
    <t>Customer_95</t>
  </si>
  <si>
    <t>Product_94</t>
  </si>
  <si>
    <t>customer95@example.com</t>
  </si>
  <si>
    <t>Customer_96</t>
  </si>
  <si>
    <t>customer96@example.com</t>
  </si>
  <si>
    <t>Customer_97</t>
  </si>
  <si>
    <t>Product_96</t>
  </si>
  <si>
    <t>customer97@example.com</t>
  </si>
  <si>
    <t>Customer_98</t>
  </si>
  <si>
    <t>Product_97</t>
  </si>
  <si>
    <t>customer98@example.com</t>
  </si>
  <si>
    <t>Customer_99</t>
  </si>
  <si>
    <t>Product_98</t>
  </si>
  <si>
    <t>customer99@example.com</t>
  </si>
  <si>
    <t>Customer_100</t>
  </si>
  <si>
    <t>Product_99</t>
  </si>
  <si>
    <t>customer100@example.com</t>
  </si>
  <si>
    <t>Customer_101</t>
  </si>
  <si>
    <t>Product_100</t>
  </si>
  <si>
    <t>customer101@example.com</t>
  </si>
  <si>
    <t>Customer_102</t>
  </si>
  <si>
    <t>Product_101</t>
  </si>
  <si>
    <t>customer102@example.com</t>
  </si>
  <si>
    <t>Customer_103</t>
  </si>
  <si>
    <t>Product_102</t>
  </si>
  <si>
    <t>customer103@example.com</t>
  </si>
  <si>
    <t>Customer_104</t>
  </si>
  <si>
    <t>Product_103</t>
  </si>
  <si>
    <t>customer104@example.com</t>
  </si>
  <si>
    <t>Customer_105</t>
  </si>
  <si>
    <t>Product_104</t>
  </si>
  <si>
    <t>customer105@example.com</t>
  </si>
  <si>
    <t>Customer_106</t>
  </si>
  <si>
    <t>Product_105</t>
  </si>
  <si>
    <t>customer106@example.com</t>
  </si>
  <si>
    <t>Customer_107</t>
  </si>
  <si>
    <t>Product_106</t>
  </si>
  <si>
    <t>customer107@example.com</t>
  </si>
  <si>
    <t>Customer_108</t>
  </si>
  <si>
    <t>Product_107</t>
  </si>
  <si>
    <t>customer108@example.com</t>
  </si>
  <si>
    <t>Customer_109</t>
  </si>
  <si>
    <t>Product_108</t>
  </si>
  <si>
    <t>customer109@example.com</t>
  </si>
  <si>
    <t>Customer_110</t>
  </si>
  <si>
    <t>Product_109</t>
  </si>
  <si>
    <t>customer110@example.com</t>
  </si>
  <si>
    <t>Customer_111</t>
  </si>
  <si>
    <t>Product_110</t>
  </si>
  <si>
    <t>customer111@example.com</t>
  </si>
  <si>
    <t>Customer_112</t>
  </si>
  <si>
    <t>Product_111</t>
  </si>
  <si>
    <t>customer112@example.com</t>
  </si>
  <si>
    <t>Customer_113</t>
  </si>
  <si>
    <t>Product_112</t>
  </si>
  <si>
    <t>customer113@example.com</t>
  </si>
  <si>
    <t>Customer_114</t>
  </si>
  <si>
    <t>Product_113</t>
  </si>
  <si>
    <t>customer114@example.com</t>
  </si>
  <si>
    <t>Customer_115</t>
  </si>
  <si>
    <t>Product_114</t>
  </si>
  <si>
    <t>customer115@example.com</t>
  </si>
  <si>
    <t>Customer_116</t>
  </si>
  <si>
    <t>Product_115</t>
  </si>
  <si>
    <t>customer116@example.com</t>
  </si>
  <si>
    <t>Customer_117</t>
  </si>
  <si>
    <t>Product_116</t>
  </si>
  <si>
    <t>customer117@example.com</t>
  </si>
  <si>
    <t>Customer_118</t>
  </si>
  <si>
    <t>Product_117</t>
  </si>
  <si>
    <t>customer118@example.com</t>
  </si>
  <si>
    <t>Customer_119</t>
  </si>
  <si>
    <t>Product_118</t>
  </si>
  <si>
    <t>customer119@example.com</t>
  </si>
  <si>
    <t>Customer_120</t>
  </si>
  <si>
    <t>Product_119</t>
  </si>
  <si>
    <t>customer120@example.com</t>
  </si>
  <si>
    <t>Customer_121</t>
  </si>
  <si>
    <t>Product_120</t>
  </si>
  <si>
    <t>customer121@example.com</t>
  </si>
  <si>
    <t>Customer_122</t>
  </si>
  <si>
    <t>Product_121</t>
  </si>
  <si>
    <t>customer122@example.com</t>
  </si>
  <si>
    <t>Customer_123</t>
  </si>
  <si>
    <t>Product_122</t>
  </si>
  <si>
    <t>customer123@example.com</t>
  </si>
  <si>
    <t>Customer_124</t>
  </si>
  <si>
    <t>Product_123</t>
  </si>
  <si>
    <t>customer124@example.com</t>
  </si>
  <si>
    <t>Customer_125</t>
  </si>
  <si>
    <t>Product_124</t>
  </si>
  <si>
    <t>customer125@example.com</t>
  </si>
  <si>
    <t>Customer_126</t>
  </si>
  <si>
    <t>Product_125</t>
  </si>
  <si>
    <t>customer126@example.com</t>
  </si>
  <si>
    <t>Customer_127</t>
  </si>
  <si>
    <t>Product_126</t>
  </si>
  <si>
    <t>customer127@example.com</t>
  </si>
  <si>
    <t>Customer_128</t>
  </si>
  <si>
    <t>Product_127</t>
  </si>
  <si>
    <t>customer128@example.com</t>
  </si>
  <si>
    <t>Customer_129</t>
  </si>
  <si>
    <t>Product_128</t>
  </si>
  <si>
    <t>customer129@example.com</t>
  </si>
  <si>
    <t>Customer_130</t>
  </si>
  <si>
    <t>Product_129</t>
  </si>
  <si>
    <t>customer130@example.com</t>
  </si>
  <si>
    <t>Customer_131</t>
  </si>
  <si>
    <t>Product_130</t>
  </si>
  <si>
    <t>customer131@example.com</t>
  </si>
  <si>
    <t>Customer_132</t>
  </si>
  <si>
    <t>Product_131</t>
  </si>
  <si>
    <t>customer132@example.com</t>
  </si>
  <si>
    <t>Customer_133</t>
  </si>
  <si>
    <t>Product_132</t>
  </si>
  <si>
    <t>customer133@example.com</t>
  </si>
  <si>
    <t>Customer_134</t>
  </si>
  <si>
    <t>Product_133</t>
  </si>
  <si>
    <t>customer134@example.com</t>
  </si>
  <si>
    <t>Customer_135</t>
  </si>
  <si>
    <t>Product_134</t>
  </si>
  <si>
    <t>customer135@example.com</t>
  </si>
  <si>
    <t>Customer_136</t>
  </si>
  <si>
    <t>Product_135</t>
  </si>
  <si>
    <t>customer136@example.com</t>
  </si>
  <si>
    <t>Customer_137</t>
  </si>
  <si>
    <t>Product_136</t>
  </si>
  <si>
    <t>customer137@example.com</t>
  </si>
  <si>
    <t>Customer_138</t>
  </si>
  <si>
    <t>Product_137</t>
  </si>
  <si>
    <t>customer138@example.com</t>
  </si>
  <si>
    <t>Customer_139</t>
  </si>
  <si>
    <t>Product_138</t>
  </si>
  <si>
    <t>customer139@example.com</t>
  </si>
  <si>
    <t>Customer_140</t>
  </si>
  <si>
    <t>Product_139</t>
  </si>
  <si>
    <t>customer140@example.com</t>
  </si>
  <si>
    <t>Customer_141</t>
  </si>
  <si>
    <t>customer141@example.com</t>
  </si>
  <si>
    <t>Customer_142</t>
  </si>
  <si>
    <t>Product_141</t>
  </si>
  <si>
    <t>customer142@example.com</t>
  </si>
  <si>
    <t>Customer_143</t>
  </si>
  <si>
    <t>Product_142</t>
  </si>
  <si>
    <t>customer143@example.com</t>
  </si>
  <si>
    <t>Customer_144</t>
  </si>
  <si>
    <t>Product_143</t>
  </si>
  <si>
    <t>customer144@example.com</t>
  </si>
  <si>
    <t>Customer_145</t>
  </si>
  <si>
    <t>Product_144</t>
  </si>
  <si>
    <t>customer145@example.com</t>
  </si>
  <si>
    <t>Customer_146</t>
  </si>
  <si>
    <t>customer146@example.com</t>
  </si>
  <si>
    <t>Customer_147</t>
  </si>
  <si>
    <t>Product_146</t>
  </si>
  <si>
    <t>customer147@example.com</t>
  </si>
  <si>
    <t>Customer_148</t>
  </si>
  <si>
    <t>Product_147</t>
  </si>
  <si>
    <t>customer148@example.com</t>
  </si>
  <si>
    <t>Customer_149</t>
  </si>
  <si>
    <t>Product_148</t>
  </si>
  <si>
    <t>customer149@example.com</t>
  </si>
  <si>
    <t>Customer_150</t>
  </si>
  <si>
    <t>Product_149</t>
  </si>
  <si>
    <t>customer150@example.com</t>
  </si>
  <si>
    <t>Customer_151</t>
  </si>
  <si>
    <t>Product_150</t>
  </si>
  <si>
    <t>customer151@example.com</t>
  </si>
  <si>
    <t>Customer_152</t>
  </si>
  <si>
    <t>Product_151</t>
  </si>
  <si>
    <t>customer152@example.com</t>
  </si>
  <si>
    <t>Customer_153</t>
  </si>
  <si>
    <t>Product_152</t>
  </si>
  <si>
    <t>customer153@example.com</t>
  </si>
  <si>
    <t>Customer_154</t>
  </si>
  <si>
    <t>Product_153</t>
  </si>
  <si>
    <t>customer154@example.com</t>
  </si>
  <si>
    <t>Customer_155</t>
  </si>
  <si>
    <t>Product_154</t>
  </si>
  <si>
    <t>customer155@example.com</t>
  </si>
  <si>
    <t>Customer_156</t>
  </si>
  <si>
    <t>Product_155</t>
  </si>
  <si>
    <t>customer156@example.com</t>
  </si>
  <si>
    <t>Customer_157</t>
  </si>
  <si>
    <t>Product_156</t>
  </si>
  <si>
    <t>customer157@example.com</t>
  </si>
  <si>
    <t>Customer_158</t>
  </si>
  <si>
    <t>Product_157</t>
  </si>
  <si>
    <t>customer158@example.com</t>
  </si>
  <si>
    <t>Customer_159</t>
  </si>
  <si>
    <t>Product_158</t>
  </si>
  <si>
    <t>customer159@example.com</t>
  </si>
  <si>
    <t>Customer_160</t>
  </si>
  <si>
    <t>Product_159</t>
  </si>
  <si>
    <t>customer160@example.com</t>
  </si>
  <si>
    <t>Customer_161</t>
  </si>
  <si>
    <t>Product_160</t>
  </si>
  <si>
    <t>customer161@example.com</t>
  </si>
  <si>
    <t>Customer_162</t>
  </si>
  <si>
    <t>Product_161</t>
  </si>
  <si>
    <t>customer162@example.com</t>
  </si>
  <si>
    <t>Customer_163</t>
  </si>
  <si>
    <t>Product_162</t>
  </si>
  <si>
    <t>customer163@example.com</t>
  </si>
  <si>
    <t>Customer_164</t>
  </si>
  <si>
    <t>Product_163</t>
  </si>
  <si>
    <t>customer164@example.com</t>
  </si>
  <si>
    <t>Customer_165</t>
  </si>
  <si>
    <t>Product_164</t>
  </si>
  <si>
    <t>customer165@example.com</t>
  </si>
  <si>
    <t>Customer_166</t>
  </si>
  <si>
    <t>Product_165</t>
  </si>
  <si>
    <t>customer166@example.com</t>
  </si>
  <si>
    <t>Customer_167</t>
  </si>
  <si>
    <t>Product_166</t>
  </si>
  <si>
    <t>customer167@example.com</t>
  </si>
  <si>
    <t>Customer_168</t>
  </si>
  <si>
    <t>Product_167</t>
  </si>
  <si>
    <t>customer168@example.com</t>
  </si>
  <si>
    <t>Customer_169</t>
  </si>
  <si>
    <t>Product_168</t>
  </si>
  <si>
    <t>customer169@example.com</t>
  </si>
  <si>
    <t>Customer_170</t>
  </si>
  <si>
    <t>Product_169</t>
  </si>
  <si>
    <t>customer170@example.com</t>
  </si>
  <si>
    <t>Customer_171</t>
  </si>
  <si>
    <t>Product_170</t>
  </si>
  <si>
    <t>customer171@example.com</t>
  </si>
  <si>
    <t>Customer_172</t>
  </si>
  <si>
    <t>Product_171</t>
  </si>
  <si>
    <t>customer172@example.com</t>
  </si>
  <si>
    <t>Customer_173</t>
  </si>
  <si>
    <t>Product_172</t>
  </si>
  <si>
    <t>customer173@example.com</t>
  </si>
  <si>
    <t>Customer_174</t>
  </si>
  <si>
    <t>Product_173</t>
  </si>
  <si>
    <t>customer174@example.com</t>
  </si>
  <si>
    <t>Customer_175</t>
  </si>
  <si>
    <t>Product_174</t>
  </si>
  <si>
    <t>customer175@example.com</t>
  </si>
  <si>
    <t>Customer_176</t>
  </si>
  <si>
    <t>Product_175</t>
  </si>
  <si>
    <t>customer176@example.com</t>
  </si>
  <si>
    <t>Customer_177</t>
  </si>
  <si>
    <t>Product_176</t>
  </si>
  <si>
    <t>customer177@example.com</t>
  </si>
  <si>
    <t>Customer_178</t>
  </si>
  <si>
    <t>Product_177</t>
  </si>
  <si>
    <t>customer178@example.com</t>
  </si>
  <si>
    <t>Customer_179</t>
  </si>
  <si>
    <t>Product_178</t>
  </si>
  <si>
    <t>customer179@example.com</t>
  </si>
  <si>
    <t>Customer_180</t>
  </si>
  <si>
    <t>Product_179</t>
  </si>
  <si>
    <t>customer180@example.com</t>
  </si>
  <si>
    <t>Customer_181</t>
  </si>
  <si>
    <t>Product_180</t>
  </si>
  <si>
    <t>customer181@example.com</t>
  </si>
  <si>
    <t>Customer_182</t>
  </si>
  <si>
    <t>Product_181</t>
  </si>
  <si>
    <t>customer182@example.com</t>
  </si>
  <si>
    <t>Customer_183</t>
  </si>
  <si>
    <t>Product_182</t>
  </si>
  <si>
    <t>customer183@example.com</t>
  </si>
  <si>
    <t>Customer_184</t>
  </si>
  <si>
    <t>Product_183</t>
  </si>
  <si>
    <t>customer184@example.com</t>
  </si>
  <si>
    <t>Customer_185</t>
  </si>
  <si>
    <t>Product_184</t>
  </si>
  <si>
    <t>customer185@example.com</t>
  </si>
  <si>
    <t>Customer_186</t>
  </si>
  <si>
    <t>Product_185</t>
  </si>
  <si>
    <t>customer186@example.com</t>
  </si>
  <si>
    <t>Customer_187</t>
  </si>
  <si>
    <t>Product_186</t>
  </si>
  <si>
    <t>customer187@example.com</t>
  </si>
  <si>
    <t>Customer_188</t>
  </si>
  <si>
    <t>Product_187</t>
  </si>
  <si>
    <t>customer188@example.com</t>
  </si>
  <si>
    <t>Customer_189</t>
  </si>
  <si>
    <t>Product_188</t>
  </si>
  <si>
    <t>customer189@example.com</t>
  </si>
  <si>
    <t>Customer_190</t>
  </si>
  <si>
    <t>Product_189</t>
  </si>
  <si>
    <t>customer190@example.com</t>
  </si>
  <si>
    <t>Customer_191</t>
  </si>
  <si>
    <t>customer191@example.com</t>
  </si>
  <si>
    <t>Customer_192</t>
  </si>
  <si>
    <t>Product_191</t>
  </si>
  <si>
    <t>customer192@example.com</t>
  </si>
  <si>
    <t>Customer_193</t>
  </si>
  <si>
    <t>Product_192</t>
  </si>
  <si>
    <t>customer193@example.com</t>
  </si>
  <si>
    <t>Customer_194</t>
  </si>
  <si>
    <t>Product_193</t>
  </si>
  <si>
    <t>customer194@example.com</t>
  </si>
  <si>
    <t>Customer_195</t>
  </si>
  <si>
    <t>Product_194</t>
  </si>
  <si>
    <t>customer195@example.com</t>
  </si>
  <si>
    <t>Customer_196</t>
  </si>
  <si>
    <t>customer196@example.com</t>
  </si>
  <si>
    <t>Customer_197</t>
  </si>
  <si>
    <t>Product_196</t>
  </si>
  <si>
    <t>customer197@example.com</t>
  </si>
  <si>
    <t>Customer_198</t>
  </si>
  <si>
    <t>Product_197</t>
  </si>
  <si>
    <t>customer198@example.com</t>
  </si>
  <si>
    <t>Customer_199</t>
  </si>
  <si>
    <t>Product_198</t>
  </si>
  <si>
    <t>customer199@example.com</t>
  </si>
  <si>
    <t>Customer_200</t>
  </si>
  <si>
    <t>Product_199</t>
  </si>
  <si>
    <t>customer200@example.com</t>
  </si>
  <si>
    <t>Customer_201</t>
  </si>
  <si>
    <t>Product_200</t>
  </si>
  <si>
    <t>customer201@example.com</t>
  </si>
  <si>
    <t>Customer_202</t>
  </si>
  <si>
    <t>Product_201</t>
  </si>
  <si>
    <t>customer202@example.com</t>
  </si>
  <si>
    <t>Customer_203</t>
  </si>
  <si>
    <t>Product_202</t>
  </si>
  <si>
    <t>customer203@example.com</t>
  </si>
  <si>
    <t>Customer_204</t>
  </si>
  <si>
    <t>Product_203</t>
  </si>
  <si>
    <t>customer204@example.com</t>
  </si>
  <si>
    <t>Customer_205</t>
  </si>
  <si>
    <t>Product_204</t>
  </si>
  <si>
    <t>customer205@example.com</t>
  </si>
  <si>
    <t>Customer_206</t>
  </si>
  <si>
    <t>Product_205</t>
  </si>
  <si>
    <t>customer206@example.com</t>
  </si>
  <si>
    <t>Customer_207</t>
  </si>
  <si>
    <t>Product_206</t>
  </si>
  <si>
    <t>customer207@example.com</t>
  </si>
  <si>
    <t>Customer_208</t>
  </si>
  <si>
    <t>Product_207</t>
  </si>
  <si>
    <t>customer208@example.com</t>
  </si>
  <si>
    <t>Customer_209</t>
  </si>
  <si>
    <t>Product_208</t>
  </si>
  <si>
    <t>customer209@example.com</t>
  </si>
  <si>
    <t>Customer_210</t>
  </si>
  <si>
    <t>Product_209</t>
  </si>
  <si>
    <t>customer210@example.com</t>
  </si>
  <si>
    <t>Customer_211</t>
  </si>
  <si>
    <t>Product_210</t>
  </si>
  <si>
    <t>customer211@example.com</t>
  </si>
  <si>
    <t>Customer_212</t>
  </si>
  <si>
    <t>Product_211</t>
  </si>
  <si>
    <t>customer212@example.com</t>
  </si>
  <si>
    <t>Customer_213</t>
  </si>
  <si>
    <t>Product_212</t>
  </si>
  <si>
    <t>customer213@example.com</t>
  </si>
  <si>
    <t>Customer_214</t>
  </si>
  <si>
    <t>Product_213</t>
  </si>
  <si>
    <t>customer214@example.com</t>
  </si>
  <si>
    <t>Customer_215</t>
  </si>
  <si>
    <t>Product_214</t>
  </si>
  <si>
    <t>customer215@example.com</t>
  </si>
  <si>
    <t>Customer_216</t>
  </si>
  <si>
    <t>Product_215</t>
  </si>
  <si>
    <t>customer216@example.com</t>
  </si>
  <si>
    <t>Customer_217</t>
  </si>
  <si>
    <t>Product_216</t>
  </si>
  <si>
    <t>customer217@example.com</t>
  </si>
  <si>
    <t>Customer_218</t>
  </si>
  <si>
    <t>Product_217</t>
  </si>
  <si>
    <t>customer218@example.com</t>
  </si>
  <si>
    <t>Customer_219</t>
  </si>
  <si>
    <t>Product_218</t>
  </si>
  <si>
    <t>customer219@example.com</t>
  </si>
  <si>
    <t>Customer_220</t>
  </si>
  <si>
    <t>Product_219</t>
  </si>
  <si>
    <t>customer220@example.com</t>
  </si>
  <si>
    <t>Customer_221</t>
  </si>
  <si>
    <t>Product_220</t>
  </si>
  <si>
    <t>customer221@example.com</t>
  </si>
  <si>
    <t>Customer_222</t>
  </si>
  <si>
    <t>Product_221</t>
  </si>
  <si>
    <t>customer222@example.com</t>
  </si>
  <si>
    <t>Customer_223</t>
  </si>
  <si>
    <t>Product_222</t>
  </si>
  <si>
    <t>customer223@example.com</t>
  </si>
  <si>
    <t>Customer_224</t>
  </si>
  <si>
    <t>Product_223</t>
  </si>
  <si>
    <t>customer224@example.com</t>
  </si>
  <si>
    <t>Customer_225</t>
  </si>
  <si>
    <t>Product_224</t>
  </si>
  <si>
    <t>customer225@example.com</t>
  </si>
  <si>
    <t>Customer_226</t>
  </si>
  <si>
    <t>Product_225</t>
  </si>
  <si>
    <t>customer226@example.com</t>
  </si>
  <si>
    <t>Customer_227</t>
  </si>
  <si>
    <t>Product_226</t>
  </si>
  <si>
    <t>customer227@example.com</t>
  </si>
  <si>
    <t>Customer_228</t>
  </si>
  <si>
    <t>Product_227</t>
  </si>
  <si>
    <t>customer228@example.com</t>
  </si>
  <si>
    <t>Customer_229</t>
  </si>
  <si>
    <t>Product_228</t>
  </si>
  <si>
    <t>customer229@example.com</t>
  </si>
  <si>
    <t>Customer_230</t>
  </si>
  <si>
    <t>Product_229</t>
  </si>
  <si>
    <t>customer230@example.com</t>
  </si>
  <si>
    <t>Customer_231</t>
  </si>
  <si>
    <t>Product_230</t>
  </si>
  <si>
    <t>customer231@example.com</t>
  </si>
  <si>
    <t>Customer_232</t>
  </si>
  <si>
    <t>Product_231</t>
  </si>
  <si>
    <t>customer232@example.com</t>
  </si>
  <si>
    <t>Customer_233</t>
  </si>
  <si>
    <t>Product_232</t>
  </si>
  <si>
    <t>customer233@example.com</t>
  </si>
  <si>
    <t>Customer_234</t>
  </si>
  <si>
    <t>Product_233</t>
  </si>
  <si>
    <t>customer234@example.com</t>
  </si>
  <si>
    <t>Customer_235</t>
  </si>
  <si>
    <t>Product_234</t>
  </si>
  <si>
    <t>customer235@example.com</t>
  </si>
  <si>
    <t>Customer_236</t>
  </si>
  <si>
    <t>Product_235</t>
  </si>
  <si>
    <t>customer236@example.com</t>
  </si>
  <si>
    <t>Customer_237</t>
  </si>
  <si>
    <t>Product_236</t>
  </si>
  <si>
    <t>customer237@example.com</t>
  </si>
  <si>
    <t>Customer_238</t>
  </si>
  <si>
    <t>Product_237</t>
  </si>
  <si>
    <t>customer238@example.com</t>
  </si>
  <si>
    <t>Customer_239</t>
  </si>
  <si>
    <t>Product_238</t>
  </si>
  <si>
    <t>customer239@example.com</t>
  </si>
  <si>
    <t>Customer_240</t>
  </si>
  <si>
    <t>Product_239</t>
  </si>
  <si>
    <t>customer240@example.com</t>
  </si>
  <si>
    <t>Customer_241</t>
  </si>
  <si>
    <t>customer241@example.com</t>
  </si>
  <si>
    <t>Customer_242</t>
  </si>
  <si>
    <t>Product_241</t>
  </si>
  <si>
    <t>customer242@example.com</t>
  </si>
  <si>
    <t>Customer_243</t>
  </si>
  <si>
    <t>Product_242</t>
  </si>
  <si>
    <t>customer243@example.com</t>
  </si>
  <si>
    <t>Customer_244</t>
  </si>
  <si>
    <t>Product_243</t>
  </si>
  <si>
    <t>customer244@example.com</t>
  </si>
  <si>
    <t>Customer_245</t>
  </si>
  <si>
    <t>Product_244</t>
  </si>
  <si>
    <t>customer245@example.com</t>
  </si>
  <si>
    <t>Customer_246</t>
  </si>
  <si>
    <t>customer246@example.com</t>
  </si>
  <si>
    <t>Customer_247</t>
  </si>
  <si>
    <t>Product_246</t>
  </si>
  <si>
    <t>customer247@example.com</t>
  </si>
  <si>
    <t>Customer_248</t>
  </si>
  <si>
    <t>Product_247</t>
  </si>
  <si>
    <t>customer248@example.com</t>
  </si>
  <si>
    <t>Customer_249</t>
  </si>
  <si>
    <t>Product_248</t>
  </si>
  <si>
    <t>customer249@example.com</t>
  </si>
  <si>
    <t>Customer_250</t>
  </si>
  <si>
    <t>Product_249</t>
  </si>
  <si>
    <t>customer250@example.com</t>
  </si>
  <si>
    <t>Customer_251</t>
  </si>
  <si>
    <t>Product_250</t>
  </si>
  <si>
    <t>customer251@example.com</t>
  </si>
  <si>
    <t>Customer_252</t>
  </si>
  <si>
    <t>Product_251</t>
  </si>
  <si>
    <t>customer252@example.com</t>
  </si>
  <si>
    <t>Customer_253</t>
  </si>
  <si>
    <t>Product_252</t>
  </si>
  <si>
    <t>customer253@example.com</t>
  </si>
  <si>
    <t>Customer_254</t>
  </si>
  <si>
    <t>Product_253</t>
  </si>
  <si>
    <t>customer254@example.com</t>
  </si>
  <si>
    <t>Customer_255</t>
  </si>
  <si>
    <t>Product_254</t>
  </si>
  <si>
    <t>customer255@example.com</t>
  </si>
  <si>
    <t>Customer_256</t>
  </si>
  <si>
    <t>Product_255</t>
  </si>
  <si>
    <t>customer256@example.com</t>
  </si>
  <si>
    <t>Customer_257</t>
  </si>
  <si>
    <t>Product_256</t>
  </si>
  <si>
    <t>customer257@example.com</t>
  </si>
  <si>
    <t>Customer_258</t>
  </si>
  <si>
    <t>Product_257</t>
  </si>
  <si>
    <t>customer258@example.com</t>
  </si>
  <si>
    <t>Customer_259</t>
  </si>
  <si>
    <t>Product_258</t>
  </si>
  <si>
    <t>customer259@example.com</t>
  </si>
  <si>
    <t>Customer_260</t>
  </si>
  <si>
    <t>Product_259</t>
  </si>
  <si>
    <t>customer260@example.com</t>
  </si>
  <si>
    <t>Customer_261</t>
  </si>
  <si>
    <t>Product_260</t>
  </si>
  <si>
    <t>customer261@example.com</t>
  </si>
  <si>
    <t>Customer_262</t>
  </si>
  <si>
    <t>Product_261</t>
  </si>
  <si>
    <t>customer262@example.com</t>
  </si>
  <si>
    <t>Customer_263</t>
  </si>
  <si>
    <t>Product_262</t>
  </si>
  <si>
    <t>customer263@example.com</t>
  </si>
  <si>
    <t>Customer_264</t>
  </si>
  <si>
    <t>Product_263</t>
  </si>
  <si>
    <t>customer264@example.com</t>
  </si>
  <si>
    <t>Customer_265</t>
  </si>
  <si>
    <t>Product_264</t>
  </si>
  <si>
    <t>customer265@example.com</t>
  </si>
  <si>
    <t>Customer_266</t>
  </si>
  <si>
    <t>Product_265</t>
  </si>
  <si>
    <t>customer266@example.com</t>
  </si>
  <si>
    <t>Customer_267</t>
  </si>
  <si>
    <t>Product_266</t>
  </si>
  <si>
    <t>customer267@example.com</t>
  </si>
  <si>
    <t>Customer_268</t>
  </si>
  <si>
    <t>Product_267</t>
  </si>
  <si>
    <t>customer268@example.com</t>
  </si>
  <si>
    <t>Customer_269</t>
  </si>
  <si>
    <t>Product_268</t>
  </si>
  <si>
    <t>customer269@example.com</t>
  </si>
  <si>
    <t>Customer_270</t>
  </si>
  <si>
    <t>Product_269</t>
  </si>
  <si>
    <t>customer270@example.com</t>
  </si>
  <si>
    <t>Customer_271</t>
  </si>
  <si>
    <t>Product_270</t>
  </si>
  <si>
    <t>customer271@example.com</t>
  </si>
  <si>
    <t>Customer_272</t>
  </si>
  <si>
    <t>Product_271</t>
  </si>
  <si>
    <t>customer272@example.com</t>
  </si>
  <si>
    <t>Customer_273</t>
  </si>
  <si>
    <t>Product_272</t>
  </si>
  <si>
    <t>customer273@example.com</t>
  </si>
  <si>
    <t>Customer_274</t>
  </si>
  <si>
    <t>Product_273</t>
  </si>
  <si>
    <t>customer274@example.com</t>
  </si>
  <si>
    <t>Customer_275</t>
  </si>
  <si>
    <t>Product_274</t>
  </si>
  <si>
    <t>customer275@example.com</t>
  </si>
  <si>
    <t>Customer_276</t>
  </si>
  <si>
    <t>Product_275</t>
  </si>
  <si>
    <t>customer276@example.com</t>
  </si>
  <si>
    <t>Customer_277</t>
  </si>
  <si>
    <t>Product_276</t>
  </si>
  <si>
    <t>customer277@example.com</t>
  </si>
  <si>
    <t>Customer_278</t>
  </si>
  <si>
    <t>Product_277</t>
  </si>
  <si>
    <t>customer278@example.com</t>
  </si>
  <si>
    <t>Customer_279</t>
  </si>
  <si>
    <t>Product_278</t>
  </si>
  <si>
    <t>customer279@example.com</t>
  </si>
  <si>
    <t>Customer_280</t>
  </si>
  <si>
    <t>Product_279</t>
  </si>
  <si>
    <t>customer280@example.com</t>
  </si>
  <si>
    <t>Customer_281</t>
  </si>
  <si>
    <t>Product_280</t>
  </si>
  <si>
    <t>customer281@example.com</t>
  </si>
  <si>
    <t>Customer_282</t>
  </si>
  <si>
    <t>Product_281</t>
  </si>
  <si>
    <t>customer282@example.com</t>
  </si>
  <si>
    <t>Customer_283</t>
  </si>
  <si>
    <t>Product_282</t>
  </si>
  <si>
    <t>customer283@example.com</t>
  </si>
  <si>
    <t>Customer_284</t>
  </si>
  <si>
    <t>Product_283</t>
  </si>
  <si>
    <t>customer284@example.com</t>
  </si>
  <si>
    <t>Customer_285</t>
  </si>
  <si>
    <t>Product_284</t>
  </si>
  <si>
    <t>customer285@example.com</t>
  </si>
  <si>
    <t>Customer_286</t>
  </si>
  <si>
    <t>Product_285</t>
  </si>
  <si>
    <t>customer286@example.com</t>
  </si>
  <si>
    <t>Customer_287</t>
  </si>
  <si>
    <t>Product_286</t>
  </si>
  <si>
    <t>customer287@example.com</t>
  </si>
  <si>
    <t>Customer_288</t>
  </si>
  <si>
    <t>Product_287</t>
  </si>
  <si>
    <t>customer288@example.com</t>
  </si>
  <si>
    <t>Customer_289</t>
  </si>
  <si>
    <t>Product_288</t>
  </si>
  <si>
    <t>customer289@example.com</t>
  </si>
  <si>
    <t>Customer_290</t>
  </si>
  <si>
    <t>Product_289</t>
  </si>
  <si>
    <t>customer290@example.com</t>
  </si>
  <si>
    <t>Customer_291</t>
  </si>
  <si>
    <t>customer291@example.com</t>
  </si>
  <si>
    <t>Customer_292</t>
  </si>
  <si>
    <t>Product_291</t>
  </si>
  <si>
    <t>customer292@example.com</t>
  </si>
  <si>
    <t>Customer_293</t>
  </si>
  <si>
    <t>Product_292</t>
  </si>
  <si>
    <t>customer293@example.com</t>
  </si>
  <si>
    <t>Customer_294</t>
  </si>
  <si>
    <t>Product_293</t>
  </si>
  <si>
    <t>customer294@example.com</t>
  </si>
  <si>
    <t>Customer_295</t>
  </si>
  <si>
    <t>Product_294</t>
  </si>
  <si>
    <t>customer295@example.com</t>
  </si>
  <si>
    <t>Customer_296</t>
  </si>
  <si>
    <t>customer296@example.com</t>
  </si>
  <si>
    <t>Customer_297</t>
  </si>
  <si>
    <t>Product_296</t>
  </si>
  <si>
    <t>customer297@example.com</t>
  </si>
  <si>
    <t>Customer_298</t>
  </si>
  <si>
    <t>Product_297</t>
  </si>
  <si>
    <t>customer298@example.com</t>
  </si>
  <si>
    <t>Customer_299</t>
  </si>
  <si>
    <t>Product_298</t>
  </si>
  <si>
    <t>customer299@example.com</t>
  </si>
  <si>
    <t>Customer_300</t>
  </si>
  <si>
    <t>Product_299</t>
  </si>
  <si>
    <t>customer300@example.com</t>
  </si>
  <si>
    <t>Customer_301</t>
  </si>
  <si>
    <t>Product_300</t>
  </si>
  <si>
    <t>customer301@example.com</t>
  </si>
  <si>
    <t>Customer_302</t>
  </si>
  <si>
    <t>Product_301</t>
  </si>
  <si>
    <t>customer302@example.com</t>
  </si>
  <si>
    <t>Customer_303</t>
  </si>
  <si>
    <t>Product_302</t>
  </si>
  <si>
    <t>customer303@example.com</t>
  </si>
  <si>
    <t>Customer_304</t>
  </si>
  <si>
    <t>Product_303</t>
  </si>
  <si>
    <t>customer304@example.com</t>
  </si>
  <si>
    <t>Customer_305</t>
  </si>
  <si>
    <t>Product_304</t>
  </si>
  <si>
    <t>customer305@example.com</t>
  </si>
  <si>
    <t>Customer_306</t>
  </si>
  <si>
    <t>Product_305</t>
  </si>
  <si>
    <t>customer306@example.com</t>
  </si>
  <si>
    <t>Customer_307</t>
  </si>
  <si>
    <t>Product_306</t>
  </si>
  <si>
    <t>customer307@example.com</t>
  </si>
  <si>
    <t>Customer_308</t>
  </si>
  <si>
    <t>Product_307</t>
  </si>
  <si>
    <t>customer308@example.com</t>
  </si>
  <si>
    <t>Customer_309</t>
  </si>
  <si>
    <t>Product_308</t>
  </si>
  <si>
    <t>customer309@example.com</t>
  </si>
  <si>
    <t>Customer_310</t>
  </si>
  <si>
    <t>Product_309</t>
  </si>
  <si>
    <t>customer310@example.com</t>
  </si>
  <si>
    <t>Customer_311</t>
  </si>
  <si>
    <t>Product_310</t>
  </si>
  <si>
    <t>customer311@example.com</t>
  </si>
  <si>
    <t>Customer_312</t>
  </si>
  <si>
    <t>Product_311</t>
  </si>
  <si>
    <t>customer312@example.com</t>
  </si>
  <si>
    <t>Customer_313</t>
  </si>
  <si>
    <t>Product_312</t>
  </si>
  <si>
    <t>customer313@example.com</t>
  </si>
  <si>
    <t>Customer_314</t>
  </si>
  <si>
    <t>Product_313</t>
  </si>
  <si>
    <t>customer314@example.com</t>
  </si>
  <si>
    <t>Customer_315</t>
  </si>
  <si>
    <t>Product_314</t>
  </si>
  <si>
    <t>customer315@example.com</t>
  </si>
  <si>
    <t>Customer_316</t>
  </si>
  <si>
    <t>Product_315</t>
  </si>
  <si>
    <t>customer316@example.com</t>
  </si>
  <si>
    <t>Customer_317</t>
  </si>
  <si>
    <t>Product_316</t>
  </si>
  <si>
    <t>customer317@example.com</t>
  </si>
  <si>
    <t>Customer_318</t>
  </si>
  <si>
    <t>Product_317</t>
  </si>
  <si>
    <t>customer318@example.com</t>
  </si>
  <si>
    <t>Customer_319</t>
  </si>
  <si>
    <t>Product_318</t>
  </si>
  <si>
    <t>customer319@example.com</t>
  </si>
  <si>
    <t>Customer_320</t>
  </si>
  <si>
    <t>Product_319</t>
  </si>
  <si>
    <t>customer320@example.com</t>
  </si>
  <si>
    <t>Customer_321</t>
  </si>
  <si>
    <t>Product_320</t>
  </si>
  <si>
    <t>customer321@example.com</t>
  </si>
  <si>
    <t>Customer_322</t>
  </si>
  <si>
    <t>Product_321</t>
  </si>
  <si>
    <t>customer322@example.com</t>
  </si>
  <si>
    <t>Customer_323</t>
  </si>
  <si>
    <t>Product_322</t>
  </si>
  <si>
    <t>customer323@example.com</t>
  </si>
  <si>
    <t>Customer_324</t>
  </si>
  <si>
    <t>Product_323</t>
  </si>
  <si>
    <t>customer324@example.com</t>
  </si>
  <si>
    <t>Customer_325</t>
  </si>
  <si>
    <t>Product_324</t>
  </si>
  <si>
    <t>customer325@example.com</t>
  </si>
  <si>
    <t>Customer_326</t>
  </si>
  <si>
    <t>Product_325</t>
  </si>
  <si>
    <t>customer326@example.com</t>
  </si>
  <si>
    <t>Customer_327</t>
  </si>
  <si>
    <t>Product_326</t>
  </si>
  <si>
    <t>customer327@example.com</t>
  </si>
  <si>
    <t>Customer_328</t>
  </si>
  <si>
    <t>Product_327</t>
  </si>
  <si>
    <t>customer328@example.com</t>
  </si>
  <si>
    <t>Customer_329</t>
  </si>
  <si>
    <t>Product_328</t>
  </si>
  <si>
    <t>customer329@example.com</t>
  </si>
  <si>
    <t>Customer_330</t>
  </si>
  <si>
    <t>Product_329</t>
  </si>
  <si>
    <t>customer330@example.com</t>
  </si>
  <si>
    <t>Customer_331</t>
  </si>
  <si>
    <t>Product_330</t>
  </si>
  <si>
    <t>customer331@example.com</t>
  </si>
  <si>
    <t>Customer_332</t>
  </si>
  <si>
    <t>Product_331</t>
  </si>
  <si>
    <t>customer332@example.com</t>
  </si>
  <si>
    <t>Customer_333</t>
  </si>
  <si>
    <t>Product_332</t>
  </si>
  <si>
    <t>customer333@example.com</t>
  </si>
  <si>
    <t>Customer_334</t>
  </si>
  <si>
    <t>Product_333</t>
  </si>
  <si>
    <t>customer334@example.com</t>
  </si>
  <si>
    <t>Customer_335</t>
  </si>
  <si>
    <t>Product_334</t>
  </si>
  <si>
    <t>customer335@example.com</t>
  </si>
  <si>
    <t>Customer_336</t>
  </si>
  <si>
    <t>Product_335</t>
  </si>
  <si>
    <t>customer336@example.com</t>
  </si>
  <si>
    <t>Customer_337</t>
  </si>
  <si>
    <t>Product_336</t>
  </si>
  <si>
    <t>customer337@example.com</t>
  </si>
  <si>
    <t>Customer_338</t>
  </si>
  <si>
    <t>Product_337</t>
  </si>
  <si>
    <t>customer338@example.com</t>
  </si>
  <si>
    <t>Customer_339</t>
  </si>
  <si>
    <t>Product_338</t>
  </si>
  <si>
    <t>customer339@example.com</t>
  </si>
  <si>
    <t>Customer_340</t>
  </si>
  <si>
    <t>Product_339</t>
  </si>
  <si>
    <t>customer340@example.com</t>
  </si>
  <si>
    <t>Customer_341</t>
  </si>
  <si>
    <t>customer341@example.com</t>
  </si>
  <si>
    <t>Customer_342</t>
  </si>
  <si>
    <t>Product_341</t>
  </si>
  <si>
    <t>customer342@example.com</t>
  </si>
  <si>
    <t>Customer_343</t>
  </si>
  <si>
    <t>Product_342</t>
  </si>
  <si>
    <t>customer343@example.com</t>
  </si>
  <si>
    <t>Customer_344</t>
  </si>
  <si>
    <t>Product_343</t>
  </si>
  <si>
    <t>customer344@example.com</t>
  </si>
  <si>
    <t>Customer_345</t>
  </si>
  <si>
    <t>Product_344</t>
  </si>
  <si>
    <t>customer345@example.com</t>
  </si>
  <si>
    <t>Customer_346</t>
  </si>
  <si>
    <t>customer346@example.com</t>
  </si>
  <si>
    <t>Customer_347</t>
  </si>
  <si>
    <t>Product_346</t>
  </si>
  <si>
    <t>customer347@example.com</t>
  </si>
  <si>
    <t>Customer_348</t>
  </si>
  <si>
    <t>Product_347</t>
  </si>
  <si>
    <t>customer348@example.com</t>
  </si>
  <si>
    <t>Customer_349</t>
  </si>
  <si>
    <t>Product_348</t>
  </si>
  <si>
    <t>customer349@example.com</t>
  </si>
  <si>
    <t>Customer_350</t>
  </si>
  <si>
    <t>Product_349</t>
  </si>
  <si>
    <t>customer350@example.com</t>
  </si>
  <si>
    <t>Customer_351</t>
  </si>
  <si>
    <t>Product_350</t>
  </si>
  <si>
    <t>customer351@example.com</t>
  </si>
  <si>
    <t>Customer_352</t>
  </si>
  <si>
    <t>Product_351</t>
  </si>
  <si>
    <t>customer352@example.com</t>
  </si>
  <si>
    <t>Customer_353</t>
  </si>
  <si>
    <t>Product_352</t>
  </si>
  <si>
    <t>customer353@example.com</t>
  </si>
  <si>
    <t>Customer_354</t>
  </si>
  <si>
    <t>Product_353</t>
  </si>
  <si>
    <t>customer354@example.com</t>
  </si>
  <si>
    <t>Customer_355</t>
  </si>
  <si>
    <t>Product_354</t>
  </si>
  <si>
    <t>customer355@example.com</t>
  </si>
  <si>
    <t>Customer_356</t>
  </si>
  <si>
    <t>Product_355</t>
  </si>
  <si>
    <t>customer356@example.com</t>
  </si>
  <si>
    <t>Customer_357</t>
  </si>
  <si>
    <t>Product_356</t>
  </si>
  <si>
    <t>customer357@example.com</t>
  </si>
  <si>
    <t>Customer_358</t>
  </si>
  <si>
    <t>Product_357</t>
  </si>
  <si>
    <t>customer358@example.com</t>
  </si>
  <si>
    <t>Customer_359</t>
  </si>
  <si>
    <t>Product_358</t>
  </si>
  <si>
    <t>customer359@example.com</t>
  </si>
  <si>
    <t>Customer_360</t>
  </si>
  <si>
    <t>Product_359</t>
  </si>
  <si>
    <t>customer360@example.com</t>
  </si>
  <si>
    <t>Customer_361</t>
  </si>
  <si>
    <t>Product_360</t>
  </si>
  <si>
    <t>customer361@example.com</t>
  </si>
  <si>
    <t>Customer_362</t>
  </si>
  <si>
    <t>Product_361</t>
  </si>
  <si>
    <t>customer362@example.com</t>
  </si>
  <si>
    <t>Customer_363</t>
  </si>
  <si>
    <t>Product_362</t>
  </si>
  <si>
    <t>customer363@example.com</t>
  </si>
  <si>
    <t>Customer_364</t>
  </si>
  <si>
    <t>Product_363</t>
  </si>
  <si>
    <t>customer364@example.com</t>
  </si>
  <si>
    <t>Customer_365</t>
  </si>
  <si>
    <t>Product_364</t>
  </si>
  <si>
    <t>customer365@example.com</t>
  </si>
  <si>
    <t>Customer_366</t>
  </si>
  <si>
    <t>Product_365</t>
  </si>
  <si>
    <t>customer366@example.com</t>
  </si>
  <si>
    <t>Customer_367</t>
  </si>
  <si>
    <t>Product_366</t>
  </si>
  <si>
    <t>customer367@example.com</t>
  </si>
  <si>
    <t>Customer_368</t>
  </si>
  <si>
    <t>Product_367</t>
  </si>
  <si>
    <t>customer368@example.com</t>
  </si>
  <si>
    <t>Customer_369</t>
  </si>
  <si>
    <t>Product_368</t>
  </si>
  <si>
    <t>customer369@example.com</t>
  </si>
  <si>
    <t>Customer_370</t>
  </si>
  <si>
    <t>Product_369</t>
  </si>
  <si>
    <t>customer370@example.com</t>
  </si>
  <si>
    <t>Customer_371</t>
  </si>
  <si>
    <t>Product_370</t>
  </si>
  <si>
    <t>customer371@example.com</t>
  </si>
  <si>
    <t>Customer_372</t>
  </si>
  <si>
    <t>Product_371</t>
  </si>
  <si>
    <t>customer372@example.com</t>
  </si>
  <si>
    <t>Customer_373</t>
  </si>
  <si>
    <t>Product_372</t>
  </si>
  <si>
    <t>customer373@example.com</t>
  </si>
  <si>
    <t>Customer_374</t>
  </si>
  <si>
    <t>Product_373</t>
  </si>
  <si>
    <t>customer374@example.com</t>
  </si>
  <si>
    <t>Customer_375</t>
  </si>
  <si>
    <t>Product_374</t>
  </si>
  <si>
    <t>customer375@example.com</t>
  </si>
  <si>
    <t>Customer_376</t>
  </si>
  <si>
    <t>Product_375</t>
  </si>
  <si>
    <t>customer376@example.com</t>
  </si>
  <si>
    <t>Customer_377</t>
  </si>
  <si>
    <t>Product_376</t>
  </si>
  <si>
    <t>customer377@example.com</t>
  </si>
  <si>
    <t>Customer_378</t>
  </si>
  <si>
    <t>Product_377</t>
  </si>
  <si>
    <t>customer378@example.com</t>
  </si>
  <si>
    <t>Customer_379</t>
  </si>
  <si>
    <t>Product_378</t>
  </si>
  <si>
    <t>customer379@example.com</t>
  </si>
  <si>
    <t>Customer_380</t>
  </si>
  <si>
    <t>Product_379</t>
  </si>
  <si>
    <t>customer380@example.com</t>
  </si>
  <si>
    <t>Customer_381</t>
  </si>
  <si>
    <t>Product_380</t>
  </si>
  <si>
    <t>customer381@example.com</t>
  </si>
  <si>
    <t>Customer_382</t>
  </si>
  <si>
    <t>Product_381</t>
  </si>
  <si>
    <t>customer382@example.com</t>
  </si>
  <si>
    <t>Customer_383</t>
  </si>
  <si>
    <t>Product_382</t>
  </si>
  <si>
    <t>customer383@example.com</t>
  </si>
  <si>
    <t>Customer_384</t>
  </si>
  <si>
    <t>Product_383</t>
  </si>
  <si>
    <t>customer384@example.com</t>
  </si>
  <si>
    <t>Customer_385</t>
  </si>
  <si>
    <t>Product_384</t>
  </si>
  <si>
    <t>customer385@example.com</t>
  </si>
  <si>
    <t>Customer_386</t>
  </si>
  <si>
    <t>Product_385</t>
  </si>
  <si>
    <t>customer386@example.com</t>
  </si>
  <si>
    <t>Customer_387</t>
  </si>
  <si>
    <t>Product_386</t>
  </si>
  <si>
    <t>customer387@example.com</t>
  </si>
  <si>
    <t>Customer_388</t>
  </si>
  <si>
    <t>Product_387</t>
  </si>
  <si>
    <t>customer388@example.com</t>
  </si>
  <si>
    <t>Customer_389</t>
  </si>
  <si>
    <t>Product_388</t>
  </si>
  <si>
    <t>customer389@example.com</t>
  </si>
  <si>
    <t>Customer_390</t>
  </si>
  <si>
    <t>Product_389</t>
  </si>
  <si>
    <t>customer390@example.com</t>
  </si>
  <si>
    <t>Customer_391</t>
  </si>
  <si>
    <t>customer391@example.com</t>
  </si>
  <si>
    <t>Customer_392</t>
  </si>
  <si>
    <t>Product_391</t>
  </si>
  <si>
    <t>customer392@example.com</t>
  </si>
  <si>
    <t>Customer_393</t>
  </si>
  <si>
    <t>Product_392</t>
  </si>
  <si>
    <t>customer393@example.com</t>
  </si>
  <si>
    <t>Customer_394</t>
  </si>
  <si>
    <t>Product_393</t>
  </si>
  <si>
    <t>customer394@example.com</t>
  </si>
  <si>
    <t>Customer_395</t>
  </si>
  <si>
    <t>Product_394</t>
  </si>
  <si>
    <t>customer395@example.com</t>
  </si>
  <si>
    <t>Customer_396</t>
  </si>
  <si>
    <t>customer396@example.com</t>
  </si>
  <si>
    <t>Customer_397</t>
  </si>
  <si>
    <t>Product_396</t>
  </si>
  <si>
    <t>customer397@example.com</t>
  </si>
  <si>
    <t>Customer_398</t>
  </si>
  <si>
    <t>Product_397</t>
  </si>
  <si>
    <t>customer398@example.com</t>
  </si>
  <si>
    <t>Customer_399</t>
  </si>
  <si>
    <t>Product_398</t>
  </si>
  <si>
    <t>customer399@example.com</t>
  </si>
  <si>
    <t>Customer_400</t>
  </si>
  <si>
    <t>Product_399</t>
  </si>
  <si>
    <t>customer400@example.com</t>
  </si>
  <si>
    <t>Customer_401</t>
  </si>
  <si>
    <t>Product_400</t>
  </si>
  <si>
    <t>customer401@example.com</t>
  </si>
  <si>
    <t>Customer_402</t>
  </si>
  <si>
    <t>Product_401</t>
  </si>
  <si>
    <t>customer402@example.com</t>
  </si>
  <si>
    <t>Customer_403</t>
  </si>
  <si>
    <t>Product_402</t>
  </si>
  <si>
    <t>customer403@example.com</t>
  </si>
  <si>
    <t>Customer_404</t>
  </si>
  <si>
    <t>Product_403</t>
  </si>
  <si>
    <t>customer404@example.com</t>
  </si>
  <si>
    <t>Customer_405</t>
  </si>
  <si>
    <t>Product_404</t>
  </si>
  <si>
    <t>customer405@example.com</t>
  </si>
  <si>
    <t>Customer_406</t>
  </si>
  <si>
    <t>Product_405</t>
  </si>
  <si>
    <t>customer406@example.com</t>
  </si>
  <si>
    <t>Customer_407</t>
  </si>
  <si>
    <t>Product_406</t>
  </si>
  <si>
    <t>customer407@example.com</t>
  </si>
  <si>
    <t>Customer_408</t>
  </si>
  <si>
    <t>Product_407</t>
  </si>
  <si>
    <t>customer408@example.com</t>
  </si>
  <si>
    <t>Customer_409</t>
  </si>
  <si>
    <t>Product_408</t>
  </si>
  <si>
    <t>customer409@example.com</t>
  </si>
  <si>
    <t>Customer_410</t>
  </si>
  <si>
    <t>Product_409</t>
  </si>
  <si>
    <t>customer410@example.com</t>
  </si>
  <si>
    <t>Customer_411</t>
  </si>
  <si>
    <t>Product_410</t>
  </si>
  <si>
    <t>customer411@example.com</t>
  </si>
  <si>
    <t>Customer_412</t>
  </si>
  <si>
    <t>Product_411</t>
  </si>
  <si>
    <t>customer412@example.com</t>
  </si>
  <si>
    <t>Customer_413</t>
  </si>
  <si>
    <t>Product_412</t>
  </si>
  <si>
    <t>customer413@example.com</t>
  </si>
  <si>
    <t>Customer_414</t>
  </si>
  <si>
    <t>Product_413</t>
  </si>
  <si>
    <t>customer414@example.com</t>
  </si>
  <si>
    <t>Customer_415</t>
  </si>
  <si>
    <t>Product_414</t>
  </si>
  <si>
    <t>customer415@example.com</t>
  </si>
  <si>
    <t>Customer_416</t>
  </si>
  <si>
    <t>Product_415</t>
  </si>
  <si>
    <t>customer416@example.com</t>
  </si>
  <si>
    <t>Customer_417</t>
  </si>
  <si>
    <t>Product_416</t>
  </si>
  <si>
    <t>customer417@example.com</t>
  </si>
  <si>
    <t>Customer_418</t>
  </si>
  <si>
    <t>Product_417</t>
  </si>
  <si>
    <t>customer418@example.com</t>
  </si>
  <si>
    <t>Customer_419</t>
  </si>
  <si>
    <t>Product_418</t>
  </si>
  <si>
    <t>customer419@example.com</t>
  </si>
  <si>
    <t>Customer_420</t>
  </si>
  <si>
    <t>Product_419</t>
  </si>
  <si>
    <t>customer420@example.com</t>
  </si>
  <si>
    <t>Customer_421</t>
  </si>
  <si>
    <t>Product_420</t>
  </si>
  <si>
    <t>customer421@example.com</t>
  </si>
  <si>
    <t>Customer_422</t>
  </si>
  <si>
    <t>Product_421</t>
  </si>
  <si>
    <t>customer422@example.com</t>
  </si>
  <si>
    <t>Customer_423</t>
  </si>
  <si>
    <t>Product_422</t>
  </si>
  <si>
    <t>customer423@example.com</t>
  </si>
  <si>
    <t>Customer_424</t>
  </si>
  <si>
    <t>Product_423</t>
  </si>
  <si>
    <t>customer424@example.com</t>
  </si>
  <si>
    <t>Customer_425</t>
  </si>
  <si>
    <t>Product_424</t>
  </si>
  <si>
    <t>customer425@example.com</t>
  </si>
  <si>
    <t>Customer_426</t>
  </si>
  <si>
    <t>Product_425</t>
  </si>
  <si>
    <t>customer426@example.com</t>
  </si>
  <si>
    <t>Customer_427</t>
  </si>
  <si>
    <t>Product_426</t>
  </si>
  <si>
    <t>customer427@example.com</t>
  </si>
  <si>
    <t>Customer_428</t>
  </si>
  <si>
    <t>Product_427</t>
  </si>
  <si>
    <t>customer428@example.com</t>
  </si>
  <si>
    <t>Customer_429</t>
  </si>
  <si>
    <t>Product_428</t>
  </si>
  <si>
    <t>customer429@example.com</t>
  </si>
  <si>
    <t>Customer_430</t>
  </si>
  <si>
    <t>Product_429</t>
  </si>
  <si>
    <t>customer430@example.com</t>
  </si>
  <si>
    <t>Customer_431</t>
  </si>
  <si>
    <t>Product_430</t>
  </si>
  <si>
    <t>customer431@example.com</t>
  </si>
  <si>
    <t>Customer_432</t>
  </si>
  <si>
    <t>Product_431</t>
  </si>
  <si>
    <t>customer432@example.com</t>
  </si>
  <si>
    <t>Customer_433</t>
  </si>
  <si>
    <t>Product_432</t>
  </si>
  <si>
    <t>customer433@example.com</t>
  </si>
  <si>
    <t>Customer_434</t>
  </si>
  <si>
    <t>Product_433</t>
  </si>
  <si>
    <t>customer434@example.com</t>
  </si>
  <si>
    <t>Customer_435</t>
  </si>
  <si>
    <t>Product_434</t>
  </si>
  <si>
    <t>customer435@example.com</t>
  </si>
  <si>
    <t>Customer_436</t>
  </si>
  <si>
    <t>Product_435</t>
  </si>
  <si>
    <t>customer436@example.com</t>
  </si>
  <si>
    <t>Customer_437</t>
  </si>
  <si>
    <t>Product_436</t>
  </si>
  <si>
    <t>customer437@example.com</t>
  </si>
  <si>
    <t>Customer_438</t>
  </si>
  <si>
    <t>Product_437</t>
  </si>
  <si>
    <t>customer438@example.com</t>
  </si>
  <si>
    <t>Customer_439</t>
  </si>
  <si>
    <t>Product_438</t>
  </si>
  <si>
    <t>customer439@example.com</t>
  </si>
  <si>
    <t>Customer_440</t>
  </si>
  <si>
    <t>Product_439</t>
  </si>
  <si>
    <t>customer440@example.com</t>
  </si>
  <si>
    <t>Customer_441</t>
  </si>
  <si>
    <t>customer441@example.com</t>
  </si>
  <si>
    <t>Customer_442</t>
  </si>
  <si>
    <t>Product_441</t>
  </si>
  <si>
    <t>customer442@example.com</t>
  </si>
  <si>
    <t>Customer_443</t>
  </si>
  <si>
    <t>Product_442</t>
  </si>
  <si>
    <t>customer443@example.com</t>
  </si>
  <si>
    <t>Customer_444</t>
  </si>
  <si>
    <t>Product_443</t>
  </si>
  <si>
    <t>customer444@example.com</t>
  </si>
  <si>
    <t>Customer_445</t>
  </si>
  <si>
    <t>Product_444</t>
  </si>
  <si>
    <t>customer445@example.com</t>
  </si>
  <si>
    <t>Customer_446</t>
  </si>
  <si>
    <t>customer446@example.com</t>
  </si>
  <si>
    <t>Customer_447</t>
  </si>
  <si>
    <t>Product_446</t>
  </si>
  <si>
    <t>customer447@example.com</t>
  </si>
  <si>
    <t>Customer_448</t>
  </si>
  <si>
    <t>Product_447</t>
  </si>
  <si>
    <t>customer448@example.com</t>
  </si>
  <si>
    <t>Customer_449</t>
  </si>
  <si>
    <t>Product_448</t>
  </si>
  <si>
    <t>customer449@example.com</t>
  </si>
  <si>
    <t>Customer_450</t>
  </si>
  <si>
    <t>Product_449</t>
  </si>
  <si>
    <t>customer450@example.com</t>
  </si>
  <si>
    <t>Customer_451</t>
  </si>
  <si>
    <t>Product_450</t>
  </si>
  <si>
    <t>customer451@example.com</t>
  </si>
  <si>
    <t>Customer_452</t>
  </si>
  <si>
    <t>Product_451</t>
  </si>
  <si>
    <t>customer452@example.com</t>
  </si>
  <si>
    <t>Customer_453</t>
  </si>
  <si>
    <t>Product_452</t>
  </si>
  <si>
    <t>customer453@example.com</t>
  </si>
  <si>
    <t>Customer_454</t>
  </si>
  <si>
    <t>Product_453</t>
  </si>
  <si>
    <t>customer454@example.com</t>
  </si>
  <si>
    <t>Customer_455</t>
  </si>
  <si>
    <t>Product_454</t>
  </si>
  <si>
    <t>customer455@example.com</t>
  </si>
  <si>
    <t>Customer_456</t>
  </si>
  <si>
    <t>Product_455</t>
  </si>
  <si>
    <t>customer456@example.com</t>
  </si>
  <si>
    <t>Customer_457</t>
  </si>
  <si>
    <t>Product_456</t>
  </si>
  <si>
    <t>customer457@example.com</t>
  </si>
  <si>
    <t>Customer_458</t>
  </si>
  <si>
    <t>Product_457</t>
  </si>
  <si>
    <t>customer458@example.com</t>
  </si>
  <si>
    <t>Customer_459</t>
  </si>
  <si>
    <t>Product_458</t>
  </si>
  <si>
    <t>customer459@example.com</t>
  </si>
  <si>
    <t>Customer_460</t>
  </si>
  <si>
    <t>Product_459</t>
  </si>
  <si>
    <t>customer460@example.com</t>
  </si>
  <si>
    <t>Customer_461</t>
  </si>
  <si>
    <t>Product_460</t>
  </si>
  <si>
    <t>customer461@example.com</t>
  </si>
  <si>
    <t>Customer_462</t>
  </si>
  <si>
    <t>Product_461</t>
  </si>
  <si>
    <t>customer462@example.com</t>
  </si>
  <si>
    <t>Customer_463</t>
  </si>
  <si>
    <t>Product_462</t>
  </si>
  <si>
    <t>customer463@example.com</t>
  </si>
  <si>
    <t>Customer_464</t>
  </si>
  <si>
    <t>Product_463</t>
  </si>
  <si>
    <t>customer464@example.com</t>
  </si>
  <si>
    <t>Customer_465</t>
  </si>
  <si>
    <t>Product_464</t>
  </si>
  <si>
    <t>customer465@example.com</t>
  </si>
  <si>
    <t>Customer_466</t>
  </si>
  <si>
    <t>Product_465</t>
  </si>
  <si>
    <t>customer466@example.com</t>
  </si>
  <si>
    <t>Customer_467</t>
  </si>
  <si>
    <t>Product_466</t>
  </si>
  <si>
    <t>customer467@example.com</t>
  </si>
  <si>
    <t>Customer_468</t>
  </si>
  <si>
    <t>Product_467</t>
  </si>
  <si>
    <t>customer468@example.com</t>
  </si>
  <si>
    <t>Customer_469</t>
  </si>
  <si>
    <t>Product_468</t>
  </si>
  <si>
    <t>customer469@example.com</t>
  </si>
  <si>
    <t>Customer_470</t>
  </si>
  <si>
    <t>Product_469</t>
  </si>
  <si>
    <t>customer470@example.com</t>
  </si>
  <si>
    <t>Customer_471</t>
  </si>
  <si>
    <t>Product_470</t>
  </si>
  <si>
    <t>customer471@example.com</t>
  </si>
  <si>
    <t>Customer_472</t>
  </si>
  <si>
    <t>Product_471</t>
  </si>
  <si>
    <t>customer472@example.com</t>
  </si>
  <si>
    <t>Customer_473</t>
  </si>
  <si>
    <t>Product_472</t>
  </si>
  <si>
    <t>customer473@example.com</t>
  </si>
  <si>
    <t>Customer_474</t>
  </si>
  <si>
    <t>Product_473</t>
  </si>
  <si>
    <t>customer474@example.com</t>
  </si>
  <si>
    <t>Customer_475</t>
  </si>
  <si>
    <t>Product_474</t>
  </si>
  <si>
    <t>customer475@example.com</t>
  </si>
  <si>
    <t>Customer_476</t>
  </si>
  <si>
    <t>Product_475</t>
  </si>
  <si>
    <t>customer476@example.com</t>
  </si>
  <si>
    <t>Customer_477</t>
  </si>
  <si>
    <t>Product_476</t>
  </si>
  <si>
    <t>customer477@example.com</t>
  </si>
  <si>
    <t>Customer_478</t>
  </si>
  <si>
    <t>Product_477</t>
  </si>
  <si>
    <t>customer478@example.com</t>
  </si>
  <si>
    <t>Customer_479</t>
  </si>
  <si>
    <t>Product_478</t>
  </si>
  <si>
    <t>customer479@example.com</t>
  </si>
  <si>
    <t>Customer_480</t>
  </si>
  <si>
    <t>Product_479</t>
  </si>
  <si>
    <t>customer480@example.com</t>
  </si>
  <si>
    <t>Customer_481</t>
  </si>
  <si>
    <t>Product_480</t>
  </si>
  <si>
    <t>customer481@example.com</t>
  </si>
  <si>
    <t>Customer_482</t>
  </si>
  <si>
    <t>Product_481</t>
  </si>
  <si>
    <t>customer482@example.com</t>
  </si>
  <si>
    <t>Customer_483</t>
  </si>
  <si>
    <t>Product_482</t>
  </si>
  <si>
    <t>customer483@example.com</t>
  </si>
  <si>
    <t>Customer_484</t>
  </si>
  <si>
    <t>Product_483</t>
  </si>
  <si>
    <t>customer484@example.com</t>
  </si>
  <si>
    <t>Customer_485</t>
  </si>
  <si>
    <t>Product_484</t>
  </si>
  <si>
    <t>customer485@example.com</t>
  </si>
  <si>
    <t>Customer_486</t>
  </si>
  <si>
    <t>Product_485</t>
  </si>
  <si>
    <t>customer486@example.com</t>
  </si>
  <si>
    <t>Customer_487</t>
  </si>
  <si>
    <t>Product_486</t>
  </si>
  <si>
    <t>customer487@example.com</t>
  </si>
  <si>
    <t>Customer_488</t>
  </si>
  <si>
    <t>Product_487</t>
  </si>
  <si>
    <t>customer488@example.com</t>
  </si>
  <si>
    <t>Customer_489</t>
  </si>
  <si>
    <t>Product_488</t>
  </si>
  <si>
    <t>customer489@example.com</t>
  </si>
  <si>
    <t>Customer_490</t>
  </si>
  <si>
    <t>Product_489</t>
  </si>
  <si>
    <t>customer490@example.com</t>
  </si>
  <si>
    <t>Customer_491</t>
  </si>
  <si>
    <t>customer491@example.com</t>
  </si>
  <si>
    <t>Customer_492</t>
  </si>
  <si>
    <t>Product_491</t>
  </si>
  <si>
    <t>customer492@example.com</t>
  </si>
  <si>
    <t>Customer_493</t>
  </si>
  <si>
    <t>Product_492</t>
  </si>
  <si>
    <t>customer493@example.com</t>
  </si>
  <si>
    <t>Customer_494</t>
  </si>
  <si>
    <t>Product_493</t>
  </si>
  <si>
    <t>customer494@example.com</t>
  </si>
  <si>
    <t>Customer_495</t>
  </si>
  <si>
    <t>Product_494</t>
  </si>
  <si>
    <t>customer495@example.com</t>
  </si>
  <si>
    <t>Customer_496</t>
  </si>
  <si>
    <t>customer496@example.com</t>
  </si>
  <si>
    <t>Customer_497</t>
  </si>
  <si>
    <t>Product_496</t>
  </si>
  <si>
    <t>customer497@example.com</t>
  </si>
  <si>
    <t>Customer_498</t>
  </si>
  <si>
    <t>Product_497</t>
  </si>
  <si>
    <t>customer498@example.com</t>
  </si>
  <si>
    <t>Customer_499</t>
  </si>
  <si>
    <t>Product_498</t>
  </si>
  <si>
    <t>customer499@example.com</t>
  </si>
  <si>
    <t>Customer_500</t>
  </si>
  <si>
    <t>Product_499</t>
  </si>
  <si>
    <t>customer500@example.com</t>
  </si>
  <si>
    <t>Customer_1</t>
  </si>
  <si>
    <t>Product_500</t>
  </si>
  <si>
    <t>customer1@example.com</t>
  </si>
  <si>
    <t>Customer_2</t>
  </si>
  <si>
    <t>Product_1</t>
  </si>
  <si>
    <t>customer2@example.com</t>
  </si>
  <si>
    <t>Customer_name</t>
  </si>
  <si>
    <t>product_name</t>
  </si>
  <si>
    <t>Selling_price</t>
  </si>
  <si>
    <t>Category</t>
  </si>
  <si>
    <t>quantity</t>
  </si>
  <si>
    <t>cost_price</t>
  </si>
  <si>
    <t>email</t>
  </si>
  <si>
    <t>city</t>
  </si>
  <si>
    <t>join_date</t>
  </si>
  <si>
    <t>order_date</t>
  </si>
  <si>
    <t>region</t>
  </si>
  <si>
    <t>Mathematics</t>
  </si>
  <si>
    <t>Rafi</t>
  </si>
  <si>
    <t>English</t>
  </si>
  <si>
    <t>Sumi</t>
  </si>
  <si>
    <t>Physics</t>
  </si>
  <si>
    <t>Chemistry</t>
  </si>
  <si>
    <t>Biology</t>
  </si>
  <si>
    <t>Computer Science</t>
  </si>
  <si>
    <t>Nafiz</t>
  </si>
  <si>
    <t>Data Science</t>
  </si>
  <si>
    <t>Sheol</t>
  </si>
  <si>
    <t>Statistics</t>
  </si>
  <si>
    <t>Abu Saib</t>
  </si>
  <si>
    <t>Economics</t>
  </si>
  <si>
    <t>Accounting</t>
  </si>
  <si>
    <t>Rahim</t>
  </si>
  <si>
    <t>Management</t>
  </si>
  <si>
    <t>Karim</t>
  </si>
  <si>
    <t>Hasan</t>
  </si>
  <si>
    <t>Imran</t>
  </si>
  <si>
    <t>History</t>
  </si>
  <si>
    <t>Sabbir</t>
  </si>
  <si>
    <t>Geography</t>
  </si>
  <si>
    <t>Nayeem</t>
  </si>
  <si>
    <t>ICT</t>
  </si>
  <si>
    <t>Fahim</t>
  </si>
  <si>
    <t>Programming</t>
  </si>
  <si>
    <t>Siam</t>
  </si>
  <si>
    <t>AI Basics</t>
  </si>
  <si>
    <t>Mahmud</t>
  </si>
  <si>
    <t>Machine Learning</t>
  </si>
  <si>
    <t>Jubayer</t>
  </si>
  <si>
    <t>Database Systems</t>
  </si>
  <si>
    <t>NAME</t>
  </si>
  <si>
    <t>subject_name</t>
  </si>
  <si>
    <t>marks</t>
  </si>
  <si>
    <t>total_marks</t>
  </si>
  <si>
    <t>rank</t>
  </si>
  <si>
    <t>Top_student</t>
  </si>
  <si>
    <t>Top_student_score</t>
  </si>
  <si>
    <t>Avg_marks</t>
  </si>
  <si>
    <t>contribution_percentage</t>
  </si>
  <si>
    <t>Sum of Top_student_score</t>
  </si>
  <si>
    <t>Sum of rank</t>
  </si>
  <si>
    <t>(blank)</t>
  </si>
  <si>
    <t>Sum of Avg_marks</t>
  </si>
  <si>
    <t>Sum of marks</t>
  </si>
  <si>
    <t>Sum of contribution_percentage</t>
  </si>
  <si>
    <t>yes</t>
  </si>
  <si>
    <t>No</t>
  </si>
  <si>
    <t>Bangladesh</t>
  </si>
  <si>
    <t>Laptop</t>
  </si>
  <si>
    <t>Headphones</t>
  </si>
  <si>
    <t>Smartphone</t>
  </si>
  <si>
    <t>Bluetooth Speaker</t>
  </si>
  <si>
    <t>Smart Watch</t>
  </si>
  <si>
    <t>Office Chair</t>
  </si>
  <si>
    <t>Study Table</t>
  </si>
  <si>
    <t>Sofa Set</t>
  </si>
  <si>
    <t>Bed</t>
  </si>
  <si>
    <t>Bookshelf</t>
  </si>
  <si>
    <t>India</t>
  </si>
  <si>
    <t>Rohit</t>
  </si>
  <si>
    <t>Amit</t>
  </si>
  <si>
    <t>John</t>
  </si>
  <si>
    <t>USA</t>
  </si>
  <si>
    <t>Michael</t>
  </si>
  <si>
    <t>David</t>
  </si>
  <si>
    <t>UK</t>
  </si>
  <si>
    <t>Daniel</t>
  </si>
  <si>
    <t>Alex</t>
  </si>
  <si>
    <t>Canada</t>
  </si>
  <si>
    <t>country</t>
  </si>
  <si>
    <t>product_name,</t>
  </si>
  <si>
    <t>category</t>
  </si>
  <si>
    <t>price</t>
  </si>
  <si>
    <t>quanatity</t>
  </si>
  <si>
    <t>Top_5_products_sales</t>
  </si>
  <si>
    <t>customer_name</t>
  </si>
  <si>
    <t>Top_5_revenue</t>
  </si>
  <si>
    <t>revenue</t>
  </si>
  <si>
    <t xml:space="preserve">march    </t>
  </si>
  <si>
    <t xml:space="preserve">april    </t>
  </si>
  <si>
    <t xml:space="preserve">january  </t>
  </si>
  <si>
    <t xml:space="preserve">february </t>
  </si>
  <si>
    <t>month</t>
  </si>
  <si>
    <t>monthly_trend</t>
  </si>
  <si>
    <t>Sum of quanatity</t>
  </si>
  <si>
    <t>Sum of price</t>
  </si>
  <si>
    <t>Bangla</t>
  </si>
  <si>
    <t>Arif</t>
  </si>
  <si>
    <t>Nahid</t>
  </si>
  <si>
    <t>Saif</t>
  </si>
  <si>
    <t>Foysal</t>
  </si>
  <si>
    <t>Subject_name</t>
  </si>
  <si>
    <t>Top_students</t>
  </si>
  <si>
    <t>avg_marks</t>
  </si>
  <si>
    <t>student_rank</t>
  </si>
  <si>
    <t>pass</t>
  </si>
  <si>
    <t>result</t>
  </si>
  <si>
    <t>percentage</t>
  </si>
  <si>
    <t>Sum of Top_students</t>
  </si>
  <si>
    <t>Sum of avg_marks</t>
  </si>
  <si>
    <t>Sum of total_marks</t>
  </si>
  <si>
    <t>Sum of student_rank</t>
  </si>
  <si>
    <t>Savings</t>
  </si>
  <si>
    <t>Deposit</t>
  </si>
  <si>
    <t>Home Loan</t>
  </si>
  <si>
    <t>Approved</t>
  </si>
  <si>
    <t>Dhaka Central Branch</t>
  </si>
  <si>
    <t>Current</t>
  </si>
  <si>
    <t>Withdrawal</t>
  </si>
  <si>
    <t>Personal Loan</t>
  </si>
  <si>
    <t>Gulshan Branch</t>
  </si>
  <si>
    <t>Salma</t>
  </si>
  <si>
    <t>Inactive</t>
  </si>
  <si>
    <t>Car Loan</t>
  </si>
  <si>
    <t>Pending</t>
  </si>
  <si>
    <t>Dhanmondi Branch</t>
  </si>
  <si>
    <t>Nabila</t>
  </si>
  <si>
    <t>Education Loan</t>
  </si>
  <si>
    <t>Uttara Branch</t>
  </si>
  <si>
    <t>Barisal</t>
  </si>
  <si>
    <t>Business Loan</t>
  </si>
  <si>
    <t>Rejected</t>
  </si>
  <si>
    <t>Motijheel Branch</t>
  </si>
  <si>
    <t>Mitu</t>
  </si>
  <si>
    <t>Sajid</t>
  </si>
  <si>
    <t>Tania</t>
  </si>
  <si>
    <t>Amin</t>
  </si>
  <si>
    <t>Farhana</t>
  </si>
  <si>
    <t>Sadia</t>
  </si>
  <si>
    <t>Shuvo</t>
  </si>
  <si>
    <t>Nusrat</t>
  </si>
  <si>
    <t>Masud</t>
  </si>
  <si>
    <t>Lamia</t>
  </si>
  <si>
    <t>Rina</t>
  </si>
  <si>
    <t>Jahid</t>
  </si>
  <si>
    <t>Kamal</t>
  </si>
  <si>
    <t>Anika</t>
  </si>
  <si>
    <t>Rashida</t>
  </si>
  <si>
    <t>Babul</t>
  </si>
  <si>
    <t>Pinky</t>
  </si>
  <si>
    <t>Tarek</t>
  </si>
  <si>
    <t>Mariya</t>
  </si>
  <si>
    <t>Nazmul</t>
  </si>
  <si>
    <t>Liza</t>
  </si>
  <si>
    <t>Mona</t>
  </si>
  <si>
    <t>Rashed</t>
  </si>
  <si>
    <t>Jannat</t>
  </si>
  <si>
    <t>Asif</t>
  </si>
  <si>
    <t>Nazia</t>
  </si>
  <si>
    <t>Kabir</t>
  </si>
  <si>
    <t>Sonia</t>
  </si>
  <si>
    <t>age</t>
  </si>
  <si>
    <t>account_type</t>
  </si>
  <si>
    <t>balance</t>
  </si>
  <si>
    <t>open_date</t>
  </si>
  <si>
    <t>transaction_date</t>
  </si>
  <si>
    <t>amount</t>
  </si>
  <si>
    <t>transaction_type</t>
  </si>
  <si>
    <t>loan_amount</t>
  </si>
  <si>
    <t>loan_type</t>
  </si>
  <si>
    <t>loan_status</t>
  </si>
  <si>
    <t>branch_name</t>
  </si>
  <si>
    <t>Count of customer_name</t>
  </si>
  <si>
    <t>Sum of balance</t>
  </si>
  <si>
    <t>Min of balance</t>
  </si>
  <si>
    <t>Sum of amount</t>
  </si>
  <si>
    <t>Mouse</t>
  </si>
  <si>
    <t>Keyboard</t>
  </si>
  <si>
    <t>Monitor</t>
  </si>
  <si>
    <t>Headphone</t>
  </si>
  <si>
    <t>Ayesha</t>
  </si>
  <si>
    <t>Printer</t>
  </si>
  <si>
    <t>Tablet</t>
  </si>
  <si>
    <t>Mobile</t>
  </si>
  <si>
    <t>Charger</t>
  </si>
  <si>
    <t>Tanim</t>
  </si>
  <si>
    <t>Power Bank</t>
  </si>
  <si>
    <t>Mim</t>
  </si>
  <si>
    <t>Sakib</t>
  </si>
  <si>
    <t>Tisha</t>
  </si>
  <si>
    <t>Mahi</t>
  </si>
  <si>
    <t>Rima</t>
  </si>
  <si>
    <t>Nabil</t>
  </si>
  <si>
    <t>Priya</t>
  </si>
  <si>
    <t>Rasel</t>
  </si>
  <si>
    <t>Lima</t>
  </si>
  <si>
    <t>Farzana</t>
  </si>
  <si>
    <t>Hridoy</t>
  </si>
  <si>
    <t>Puja</t>
  </si>
  <si>
    <t>Mamun</t>
  </si>
  <si>
    <t>Sumaiya</t>
  </si>
  <si>
    <t>Tanvir</t>
  </si>
  <si>
    <t>Nadia</t>
  </si>
  <si>
    <t>Bappy</t>
  </si>
  <si>
    <t>Sharmin</t>
  </si>
  <si>
    <t>Rony</t>
  </si>
  <si>
    <t>Afsana</t>
  </si>
  <si>
    <t>Elina</t>
  </si>
  <si>
    <t>Rashid</t>
  </si>
  <si>
    <t>Keya</t>
  </si>
  <si>
    <t>Parvez</t>
  </si>
  <si>
    <t>Shamim</t>
  </si>
  <si>
    <t>Laila</t>
  </si>
  <si>
    <t>Rifat</t>
  </si>
  <si>
    <t>Nila</t>
  </si>
  <si>
    <t>selling_price</t>
  </si>
  <si>
    <t>sale_date</t>
  </si>
  <si>
    <t>profit</t>
  </si>
  <si>
    <t>Sum of quantity</t>
  </si>
  <si>
    <t>Sum of profit</t>
  </si>
  <si>
    <t>Total_sales</t>
  </si>
  <si>
    <t>Sum of Total_sales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</si>
</sst>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845]_-;\-* #,##0[$৳-845]_-;_-* &quot;-&quot;??[$৳-845]_-;_-@_-"/>
  </numFmts>
  <fonts count="9" x14ac:knownFonts="1">
    <font>
      <sz val="11"/>
      <color theme="1"/>
      <name val="Calibri"/>
      <family val="2"/>
      <scheme val="minor"/>
    </font>
    <font>
      <b/>
      <sz val="11"/>
      <color theme="1"/>
      <name val="Calibri"/>
      <family val="2"/>
      <scheme val="minor"/>
    </font>
    <font>
      <sz val="8"/>
      <name val="Calibri"/>
      <family val="2"/>
      <scheme val="minor"/>
    </font>
    <font>
      <b/>
      <i/>
      <sz val="11"/>
      <color theme="1"/>
      <name val="Calibri"/>
      <family val="2"/>
      <scheme val="minor"/>
    </font>
    <font>
      <u/>
      <sz val="11"/>
      <color theme="10"/>
      <name val="Calibri"/>
      <family val="2"/>
      <scheme val="minor"/>
    </font>
    <font>
      <b/>
      <sz val="16"/>
      <color theme="1"/>
      <name val="Times New Roman"/>
      <family val="1"/>
    </font>
    <font>
      <b/>
      <sz val="12"/>
      <color theme="1"/>
      <name val="Calibri"/>
      <family val="2"/>
      <scheme val="minor"/>
    </font>
    <font>
      <i/>
      <sz val="11"/>
      <color theme="1"/>
      <name val="Calibri"/>
      <family val="2"/>
      <scheme val="minor"/>
    </font>
    <font>
      <b/>
      <i/>
      <sz val="12"/>
      <color theme="1"/>
      <name val="Calibri"/>
      <family val="2"/>
      <scheme val="minor"/>
    </font>
  </fonts>
  <fills count="26">
    <fill>
      <patternFill patternType="none"/>
    </fill>
    <fill>
      <patternFill patternType="gray125"/>
    </fill>
    <fill>
      <patternFill patternType="solid">
        <fgColor theme="7" tint="0.79998168889431442"/>
        <bgColor indexed="64"/>
      </patternFill>
    </fill>
    <fill>
      <patternFill patternType="solid">
        <fgColor theme="4" tint="0.59999389629810485"/>
        <bgColor indexed="64"/>
      </patternFill>
    </fill>
    <fill>
      <patternFill patternType="solid">
        <fgColor theme="1" tint="0.499984740745262"/>
        <bgColor indexed="64"/>
      </patternFill>
    </fill>
    <fill>
      <patternFill patternType="solid">
        <fgColor theme="4"/>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theme="4" tint="-0.499984740745262"/>
        <bgColor indexed="64"/>
      </patternFill>
    </fill>
    <fill>
      <patternFill patternType="solid">
        <fgColor theme="3"/>
        <bgColor indexed="64"/>
      </patternFill>
    </fill>
    <fill>
      <patternFill patternType="solid">
        <fgColor theme="5"/>
        <bgColor indexed="64"/>
      </patternFill>
    </fill>
    <fill>
      <patternFill patternType="solid">
        <fgColor theme="3" tint="-0.499984740745262"/>
        <bgColor indexed="64"/>
      </patternFill>
    </fill>
    <fill>
      <patternFill patternType="solid">
        <fgColor theme="1"/>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8"/>
        <bgColor indexed="64"/>
      </patternFill>
    </fill>
    <fill>
      <patternFill patternType="solid">
        <fgColor theme="4"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72">
    <xf numFmtId="0" fontId="0" fillId="0" borderId="0" xfId="0"/>
    <xf numFmtId="0" fontId="0" fillId="0" borderId="0" xfId="0" applyAlignment="1">
      <alignment horizontal="center"/>
    </xf>
    <xf numFmtId="0" fontId="0" fillId="0" borderId="1" xfId="0" applyBorder="1" applyAlignment="1">
      <alignment horizontal="center"/>
    </xf>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0" fontId="4" fillId="0" borderId="0" xfId="1" applyAlignment="1">
      <alignment vertical="center" wrapText="1"/>
    </xf>
    <xf numFmtId="0" fontId="1" fillId="0" borderId="0" xfId="0" applyFont="1" applyAlignment="1">
      <alignment horizontal="center" wrapText="1"/>
    </xf>
    <xf numFmtId="0" fontId="0" fillId="0" borderId="0" xfId="0" applyAlignment="1">
      <alignment vertical="center"/>
    </xf>
    <xf numFmtId="0" fontId="0" fillId="3" borderId="1" xfId="0" applyFill="1" applyBorder="1" applyAlignment="1">
      <alignment horizontal="center" vertical="center"/>
    </xf>
    <xf numFmtId="0" fontId="0" fillId="8" borderId="1" xfId="0" applyFill="1" applyBorder="1" applyAlignment="1">
      <alignment horizontal="center"/>
    </xf>
    <xf numFmtId="0" fontId="0" fillId="8" borderId="1" xfId="0" applyFill="1" applyBorder="1"/>
    <xf numFmtId="0" fontId="0" fillId="10" borderId="1" xfId="0" applyFill="1" applyBorder="1" applyAlignment="1">
      <alignment horizontal="center"/>
    </xf>
    <xf numFmtId="0" fontId="0" fillId="10" borderId="1" xfId="0" applyFill="1" applyBorder="1" applyAlignment="1">
      <alignment horizontal="left" vertical="top" indent="1"/>
    </xf>
    <xf numFmtId="0" fontId="0" fillId="10" borderId="1" xfId="0" applyFill="1" applyBorder="1" applyAlignment="1">
      <alignment horizontal="left" indent="2"/>
    </xf>
    <xf numFmtId="0" fontId="0" fillId="10" borderId="1" xfId="0" applyFill="1" applyBorder="1" applyAlignment="1">
      <alignment horizontal="left" vertical="center"/>
    </xf>
    <xf numFmtId="0" fontId="0" fillId="10" borderId="1" xfId="0" applyFill="1" applyBorder="1" applyAlignment="1">
      <alignment horizontal="left" indent="1"/>
    </xf>
    <xf numFmtId="0" fontId="0" fillId="10" borderId="1" xfId="0" applyFill="1" applyBorder="1" applyAlignment="1">
      <alignment horizontal="left" vertical="center" indent="1"/>
    </xf>
    <xf numFmtId="0" fontId="0" fillId="4" borderId="6" xfId="0"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xf numFmtId="0" fontId="0" fillId="0" borderId="1" xfId="0" applyBorder="1"/>
    <xf numFmtId="0" fontId="0" fillId="0" borderId="2" xfId="0" applyBorder="1" applyAlignment="1">
      <alignment horizontal="center"/>
    </xf>
    <xf numFmtId="0" fontId="5" fillId="11" borderId="1" xfId="0" applyFont="1" applyFill="1" applyBorder="1"/>
    <xf numFmtId="0" fontId="5" fillId="11" borderId="5" xfId="0" applyFont="1" applyFill="1" applyBorder="1"/>
    <xf numFmtId="0" fontId="5" fillId="11" borderId="8" xfId="0" applyFont="1" applyFill="1" applyBorder="1"/>
    <xf numFmtId="164" fontId="0" fillId="0" borderId="1" xfId="0" applyNumberFormat="1" applyBorder="1"/>
    <xf numFmtId="164" fontId="0" fillId="0" borderId="0" xfId="0" applyNumberFormat="1"/>
    <xf numFmtId="49" fontId="0" fillId="0" borderId="0" xfId="0" applyNumberFormat="1"/>
    <xf numFmtId="49" fontId="0" fillId="0" borderId="1" xfId="0" applyNumberFormat="1" applyBorder="1"/>
    <xf numFmtId="0" fontId="0" fillId="0" borderId="0" xfId="0" applyAlignment="1">
      <alignment horizontal="left"/>
    </xf>
    <xf numFmtId="0" fontId="0" fillId="0" borderId="0" xfId="0" pivotButton="1"/>
    <xf numFmtId="0" fontId="0" fillId="12" borderId="0" xfId="0" applyFill="1"/>
    <xf numFmtId="14" fontId="0" fillId="0" borderId="1" xfId="0" applyNumberFormat="1" applyBorder="1"/>
    <xf numFmtId="0" fontId="0" fillId="13" borderId="0" xfId="0" applyFill="1"/>
    <xf numFmtId="0" fontId="0" fillId="14" borderId="0" xfId="0" applyFill="1"/>
    <xf numFmtId="0" fontId="3" fillId="15" borderId="0" xfId="0" applyFont="1" applyFill="1" applyAlignment="1">
      <alignment horizontal="center"/>
    </xf>
    <xf numFmtId="0" fontId="0" fillId="0" borderId="0" xfId="0" applyAlignment="1">
      <alignment horizontal="left" indent="1"/>
    </xf>
    <xf numFmtId="0" fontId="0" fillId="16" borderId="0" xfId="0" applyFill="1"/>
    <xf numFmtId="0" fontId="6" fillId="6" borderId="1" xfId="0" applyFont="1" applyFill="1" applyBorder="1"/>
    <xf numFmtId="0" fontId="6" fillId="6" borderId="2" xfId="0" applyFont="1" applyFill="1" applyBorder="1"/>
    <xf numFmtId="14" fontId="0" fillId="0" borderId="2" xfId="0" applyNumberFormat="1" applyBorder="1"/>
    <xf numFmtId="0" fontId="0" fillId="17" borderId="0" xfId="0" applyFill="1"/>
    <xf numFmtId="0" fontId="6" fillId="6" borderId="8" xfId="0" applyFont="1" applyFill="1" applyBorder="1"/>
    <xf numFmtId="0" fontId="0" fillId="0" borderId="3" xfId="0" applyBorder="1"/>
    <xf numFmtId="0" fontId="0" fillId="18" borderId="0" xfId="0" applyFill="1"/>
    <xf numFmtId="0" fontId="3" fillId="19" borderId="1" xfId="0" applyFont="1" applyFill="1" applyBorder="1"/>
    <xf numFmtId="0" fontId="8" fillId="18" borderId="0" xfId="0" applyFont="1" applyFill="1"/>
    <xf numFmtId="0" fontId="7" fillId="0" borderId="1" xfId="0" applyFont="1" applyBorder="1"/>
    <xf numFmtId="0" fontId="0" fillId="20" borderId="0" xfId="0" applyFill="1"/>
    <xf numFmtId="0" fontId="1" fillId="6" borderId="1" xfId="0" applyFont="1" applyFill="1" applyBorder="1"/>
    <xf numFmtId="0" fontId="0" fillId="6" borderId="1" xfId="0" applyFill="1" applyBorder="1"/>
    <xf numFmtId="0" fontId="0" fillId="21" borderId="0" xfId="0" applyFill="1"/>
    <xf numFmtId="0" fontId="8" fillId="22" borderId="1" xfId="0" applyFont="1" applyFill="1" applyBorder="1"/>
    <xf numFmtId="0" fontId="0" fillId="0" borderId="2" xfId="0" applyBorder="1"/>
    <xf numFmtId="0" fontId="8" fillId="23" borderId="1" xfId="0" applyFont="1" applyFill="1" applyBorder="1"/>
    <xf numFmtId="0" fontId="8" fillId="23" borderId="2" xfId="0" applyFont="1" applyFill="1" applyBorder="1"/>
    <xf numFmtId="0" fontId="0" fillId="0" borderId="1" xfId="0" pivotButton="1" applyBorder="1"/>
    <xf numFmtId="0" fontId="0" fillId="0" borderId="1" xfId="0" applyBorder="1" applyAlignment="1">
      <alignment horizontal="left"/>
    </xf>
    <xf numFmtId="14" fontId="0" fillId="0" borderId="1" xfId="0" applyNumberFormat="1" applyBorder="1" applyAlignment="1">
      <alignment horizontal="left"/>
    </xf>
    <xf numFmtId="0" fontId="8" fillId="24" borderId="1" xfId="0" applyFont="1" applyFill="1" applyBorder="1"/>
    <xf numFmtId="0" fontId="0" fillId="25" borderId="0" xfId="0" applyFill="1"/>
    <xf numFmtId="0" fontId="0" fillId="0" borderId="0" xfId="0" applyAlignment="1">
      <alignment horizontal="center"/>
    </xf>
    <xf numFmtId="0" fontId="0" fillId="0" borderId="7" xfId="0" applyBorder="1" applyAlignment="1">
      <alignment horizontal="center"/>
    </xf>
    <xf numFmtId="0" fontId="0" fillId="5" borderId="1" xfId="0" applyFill="1" applyBorder="1" applyAlignment="1">
      <alignment horizontal="center"/>
    </xf>
    <xf numFmtId="0" fontId="0" fillId="7" borderId="1" xfId="0" applyFill="1" applyBorder="1" applyAlignment="1">
      <alignment horizontal="center" vertical="center"/>
    </xf>
    <xf numFmtId="0" fontId="0" fillId="3" borderId="0" xfId="0" applyFill="1" applyAlignment="1">
      <alignment horizontal="center"/>
    </xf>
    <xf numFmtId="0" fontId="0" fillId="9" borderId="1" xfId="0" applyFill="1" applyBorder="1" applyAlignment="1">
      <alignment horizontal="center"/>
    </xf>
    <xf numFmtId="0" fontId="0" fillId="9" borderId="5" xfId="0" applyFill="1" applyBorder="1" applyAlignment="1">
      <alignment horizontal="center"/>
    </xf>
    <xf numFmtId="0" fontId="0" fillId="0" borderId="4" xfId="0" applyBorder="1" applyAlignment="1">
      <alignment horizontal="center"/>
    </xf>
    <xf numFmtId="0" fontId="0" fillId="2" borderId="1" xfId="0" applyFill="1" applyBorder="1" applyAlignment="1">
      <alignment horizontal="center" vertical="center"/>
    </xf>
  </cellXfs>
  <cellStyles count="2">
    <cellStyle name="Hyperlink" xfId="1" builtinId="8"/>
    <cellStyle name="Normal" xfId="0" builtinId="0"/>
  </cellStyles>
  <dxfs count="34">
    <dxf>
      <fill>
        <patternFill>
          <bgColor theme="8" tint="-0.24994659260841701"/>
        </patternFill>
      </fill>
    </dxf>
    <dxf>
      <fill>
        <patternFill>
          <bgColor theme="8" tint="0.59996337778862885"/>
        </patternFill>
      </fill>
    </dxf>
    <dxf>
      <fill>
        <patternFill>
          <bgColor rgb="FF00B0F0"/>
        </patternFill>
      </fill>
    </dxf>
    <dxf>
      <fill>
        <patternFill>
          <bgColor theme="8" tint="0.39994506668294322"/>
        </patternFill>
      </fill>
    </dxf>
    <dxf>
      <fill>
        <patternFill>
          <bgColor rgb="FF00B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fill>
        <patternFill patternType="solid">
          <fgColor auto="1"/>
          <bgColor theme="4" tint="0.59996337778862885"/>
        </patternFill>
      </fill>
    </dxf>
    <dxf>
      <border>
        <left style="thin">
          <color theme="3" tint="0.79998168889431442"/>
        </left>
        <right style="thin">
          <color theme="3" tint="0.79998168889431442"/>
        </right>
        <top style="thin">
          <color theme="3" tint="0.79998168889431442"/>
        </top>
        <bottom style="thin">
          <color theme="3" tint="0.79998168889431442"/>
        </bottom>
      </border>
    </dxf>
    <dxf>
      <font>
        <color theme="1"/>
      </font>
      <fill>
        <patternFill>
          <bgColor theme="4" tint="0.59996337778862885"/>
        </patternFill>
      </fill>
      <border>
        <left style="thin">
          <color auto="1"/>
        </left>
        <right style="thin">
          <color auto="1"/>
        </right>
        <top style="thin">
          <color auto="1"/>
        </top>
        <bottom style="thin">
          <color auto="1"/>
        </bottom>
      </border>
    </dxf>
    <dxf>
      <font>
        <b val="0"/>
        <i/>
        <color theme="1"/>
      </font>
      <fill>
        <patternFill>
          <bgColor theme="4" tint="0.79998168889431442"/>
        </patternFill>
      </fill>
      <border diagonalUp="0" diagonalDown="0">
        <left/>
        <right/>
        <top/>
        <bottom/>
        <vertical/>
        <horizontal/>
      </border>
    </dxf>
    <dxf>
      <fill>
        <patternFill>
          <bgColor theme="4"/>
        </patternFill>
      </fill>
    </dxf>
  </dxfs>
  <tableStyles count="6" defaultTableStyle="TableStyleMedium2" defaultPivotStyle="PivotStyleLight16">
    <tableStyle name="Slicer Style 1" pivot="0" table="0" count="1" xr9:uid="{70C1AD38-8968-4F87-B7E7-9CF055FF223F}">
      <tableStyleElement type="wholeTable" dxfId="33"/>
    </tableStyle>
    <tableStyle name="Slicer Style 2" pivot="0" table="0" count="0" xr9:uid="{0BC18A25-4AF6-4480-92D0-45063E7F8997}"/>
    <tableStyle name="Slicer Style 3" pivot="0" table="0" count="1" xr9:uid="{315346B1-B730-4285-897E-E33231372B17}">
      <tableStyleElement type="wholeTable" dxfId="32"/>
    </tableStyle>
    <tableStyle name="Slicer Style 4" pivot="0" table="0" count="1" xr9:uid="{12BD69B1-A358-4DAA-A84C-8A842F483A30}">
      <tableStyleElement type="wholeTable" dxfId="31"/>
    </tableStyle>
    <tableStyle name="Slicer Style 5" pivot="0" table="0" count="1" xr9:uid="{EF4094D4-B7FD-4C64-A9B6-5E4BD2B1FF34}">
      <tableStyleElement type="wholeTable" dxfId="30"/>
    </tableStyle>
    <tableStyle name="Slicer Style 6" pivot="0" table="0" count="1" xr9:uid="{72B0A630-D272-4A56-9085-4FA205BA8FA6}">
      <tableStyleElement type="wholeTable" dxfId="29"/>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3.xml"/><Relationship Id="rId21" Type="http://schemas.openxmlformats.org/officeDocument/2006/relationships/worksheet" Target="worksheets/sheet21.xml"/><Relationship Id="rId42" Type="http://schemas.microsoft.com/office/2007/relationships/slicerCache" Target="slicerCaches/slicerCache3.xml"/><Relationship Id="rId47" Type="http://schemas.microsoft.com/office/2007/relationships/slicerCache" Target="slicerCaches/slicerCache8.xml"/><Relationship Id="rId63" Type="http://schemas.microsoft.com/office/2007/relationships/slicerCache" Target="slicerCaches/slicerCache24.xml"/><Relationship Id="rId68" Type="http://schemas.microsoft.com/office/2007/relationships/slicerCache" Target="slicerCaches/slicerCache29.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9.xml"/><Relationship Id="rId37" Type="http://schemas.openxmlformats.org/officeDocument/2006/relationships/pivotCacheDefinition" Target="pivotCache/pivotCacheDefinition14.xml"/><Relationship Id="rId53" Type="http://schemas.microsoft.com/office/2007/relationships/slicerCache" Target="slicerCaches/slicerCache14.xml"/><Relationship Id="rId58" Type="http://schemas.microsoft.com/office/2007/relationships/slicerCache" Target="slicerCaches/slicerCache19.xml"/><Relationship Id="rId74" Type="http://schemas.microsoft.com/office/2007/relationships/slicerCache" Target="slicerCaches/slicerCache35.xml"/><Relationship Id="rId79" Type="http://schemas.microsoft.com/office/2007/relationships/slicerCache" Target="slicerCaches/slicerCache40.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openxmlformats.org/officeDocument/2006/relationships/pivotCacheDefinition" Target="pivotCache/pivotCacheDefinition7.xml"/><Relationship Id="rId35" Type="http://schemas.openxmlformats.org/officeDocument/2006/relationships/pivotCacheDefinition" Target="pivotCache/pivotCacheDefinition12.xml"/><Relationship Id="rId43" Type="http://schemas.microsoft.com/office/2007/relationships/slicerCache" Target="slicerCaches/slicerCache4.xml"/><Relationship Id="rId48" Type="http://schemas.microsoft.com/office/2007/relationships/slicerCache" Target="slicerCaches/slicerCache9.xml"/><Relationship Id="rId56" Type="http://schemas.microsoft.com/office/2007/relationships/slicerCache" Target="slicerCaches/slicerCache17.xml"/><Relationship Id="rId64" Type="http://schemas.microsoft.com/office/2007/relationships/slicerCache" Target="slicerCaches/slicerCache25.xml"/><Relationship Id="rId69" Type="http://schemas.microsoft.com/office/2007/relationships/slicerCache" Target="slicerCaches/slicerCache30.xml"/><Relationship Id="rId77" Type="http://schemas.microsoft.com/office/2007/relationships/slicerCache" Target="slicerCaches/slicerCache38.xml"/><Relationship Id="rId8" Type="http://schemas.openxmlformats.org/officeDocument/2006/relationships/worksheet" Target="worksheets/sheet8.xml"/><Relationship Id="rId51" Type="http://schemas.microsoft.com/office/2007/relationships/slicerCache" Target="slicerCaches/slicerCache12.xml"/><Relationship Id="rId72" Type="http://schemas.microsoft.com/office/2007/relationships/slicerCache" Target="slicerCaches/slicerCache33.xml"/><Relationship Id="rId80" Type="http://schemas.microsoft.com/office/2007/relationships/slicerCache" Target="slicerCaches/slicerCache41.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pivotCacheDefinition" Target="pivotCache/pivotCacheDefinition10.xml"/><Relationship Id="rId38" Type="http://schemas.openxmlformats.org/officeDocument/2006/relationships/pivotCacheDefinition" Target="pivotCache/pivotCacheDefinition15.xml"/><Relationship Id="rId46" Type="http://schemas.microsoft.com/office/2007/relationships/slicerCache" Target="slicerCaches/slicerCache7.xml"/><Relationship Id="rId59" Type="http://schemas.microsoft.com/office/2007/relationships/slicerCache" Target="slicerCaches/slicerCache20.xml"/><Relationship Id="rId67" Type="http://schemas.microsoft.com/office/2007/relationships/slicerCache" Target="slicerCaches/slicerCache28.xml"/><Relationship Id="rId20" Type="http://schemas.openxmlformats.org/officeDocument/2006/relationships/worksheet" Target="worksheets/sheet20.xml"/><Relationship Id="rId41" Type="http://schemas.microsoft.com/office/2007/relationships/slicerCache" Target="slicerCaches/slicerCache2.xml"/><Relationship Id="rId54" Type="http://schemas.microsoft.com/office/2007/relationships/slicerCache" Target="slicerCaches/slicerCache15.xml"/><Relationship Id="rId62" Type="http://schemas.microsoft.com/office/2007/relationships/slicerCache" Target="slicerCaches/slicerCache23.xml"/><Relationship Id="rId70" Type="http://schemas.microsoft.com/office/2007/relationships/slicerCache" Target="slicerCaches/slicerCache31.xml"/><Relationship Id="rId75" Type="http://schemas.microsoft.com/office/2007/relationships/slicerCache" Target="slicerCaches/slicerCache36.xml"/><Relationship Id="rId83" Type="http://schemas.microsoft.com/office/2007/relationships/slicerCache" Target="slicerCaches/slicerCache4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5.xml"/><Relationship Id="rId36" Type="http://schemas.openxmlformats.org/officeDocument/2006/relationships/pivotCacheDefinition" Target="pivotCache/pivotCacheDefinition13.xml"/><Relationship Id="rId49" Type="http://schemas.microsoft.com/office/2007/relationships/slicerCache" Target="slicerCaches/slicerCache10.xml"/><Relationship Id="rId57" Type="http://schemas.microsoft.com/office/2007/relationships/slicerCache" Target="slicerCaches/slicerCache18.xml"/><Relationship Id="rId10" Type="http://schemas.openxmlformats.org/officeDocument/2006/relationships/worksheet" Target="worksheets/sheet10.xml"/><Relationship Id="rId31" Type="http://schemas.openxmlformats.org/officeDocument/2006/relationships/pivotCacheDefinition" Target="pivotCache/pivotCacheDefinition8.xml"/><Relationship Id="rId44" Type="http://schemas.microsoft.com/office/2007/relationships/slicerCache" Target="slicerCaches/slicerCache5.xml"/><Relationship Id="rId52" Type="http://schemas.microsoft.com/office/2007/relationships/slicerCache" Target="slicerCaches/slicerCache13.xml"/><Relationship Id="rId60" Type="http://schemas.microsoft.com/office/2007/relationships/slicerCache" Target="slicerCaches/slicerCache21.xml"/><Relationship Id="rId65" Type="http://schemas.microsoft.com/office/2007/relationships/slicerCache" Target="slicerCaches/slicerCache26.xml"/><Relationship Id="rId73" Type="http://schemas.microsoft.com/office/2007/relationships/slicerCache" Target="slicerCaches/slicerCache34.xml"/><Relationship Id="rId78" Type="http://schemas.microsoft.com/office/2007/relationships/slicerCache" Target="slicerCaches/slicerCache39.xml"/><Relationship Id="rId81" Type="http://schemas.microsoft.com/office/2007/relationships/slicerCache" Target="slicerCaches/slicerCache42.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6.xml"/><Relationship Id="rId34" Type="http://schemas.openxmlformats.org/officeDocument/2006/relationships/pivotCacheDefinition" Target="pivotCache/pivotCacheDefinition11.xml"/><Relationship Id="rId50" Type="http://schemas.microsoft.com/office/2007/relationships/slicerCache" Target="slicerCaches/slicerCache11.xml"/><Relationship Id="rId55" Type="http://schemas.microsoft.com/office/2007/relationships/slicerCache" Target="slicerCaches/slicerCache16.xml"/><Relationship Id="rId76" Type="http://schemas.microsoft.com/office/2007/relationships/slicerCache" Target="slicerCaches/slicerCache37.xml"/><Relationship Id="rId7" Type="http://schemas.openxmlformats.org/officeDocument/2006/relationships/worksheet" Target="worksheets/sheet7.xml"/><Relationship Id="rId71" Type="http://schemas.microsoft.com/office/2007/relationships/slicerCache" Target="slicerCaches/slicerCache32.xml"/><Relationship Id="rId2" Type="http://schemas.openxmlformats.org/officeDocument/2006/relationships/worksheet" Target="worksheets/sheet2.xml"/><Relationship Id="rId29" Type="http://schemas.openxmlformats.org/officeDocument/2006/relationships/pivotCacheDefinition" Target="pivotCache/pivotCacheDefinition6.xml"/><Relationship Id="rId24" Type="http://schemas.openxmlformats.org/officeDocument/2006/relationships/pivotCacheDefinition" Target="pivotCache/pivotCacheDefinition1.xml"/><Relationship Id="rId40" Type="http://schemas.microsoft.com/office/2007/relationships/slicerCache" Target="slicerCaches/slicerCache1.xml"/><Relationship Id="rId45" Type="http://schemas.microsoft.com/office/2007/relationships/slicerCache" Target="slicerCaches/slicerCache6.xml"/><Relationship Id="rId66" Type="http://schemas.microsoft.com/office/2007/relationships/slicerCache" Target="slicerCaches/slicerCache27.xml"/><Relationship Id="rId87" Type="http://schemas.openxmlformats.org/officeDocument/2006/relationships/calcChain" Target="calcChain.xml"/><Relationship Id="rId61" Type="http://schemas.microsoft.com/office/2007/relationships/slicerCache" Target="slicerCaches/slicerCache22.xml"/><Relationship Id="rId82" Type="http://schemas.microsoft.com/office/2007/relationships/slicerCache" Target="slicerCaches/slicerCache4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0.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1.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2.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3.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4.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Analysis.xlsx]Sheet9!PivotTable1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478268606254739E-2"/>
          <c:y val="2.1273102107911251E-2"/>
          <c:w val="0.80401031685069546"/>
          <c:h val="0.6076742490522018"/>
        </c:manualLayout>
      </c:layout>
      <c:bar3DChart>
        <c:barDir val="col"/>
        <c:grouping val="stacked"/>
        <c:varyColors val="0"/>
        <c:ser>
          <c:idx val="0"/>
          <c:order val="0"/>
          <c:tx>
            <c:strRef>
              <c:f>Sheet9!$B$5:$B$6</c:f>
              <c:strCache>
                <c:ptCount val="1"/>
                <c:pt idx="0">
                  <c:v>January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Sheet9!$B$7:$B$17</c:f>
              <c:numCache>
                <c:formatCode>_-* #,##0[$৳-845]_-;\-* #,##0[$৳-845]_-;_-* "-"??[$৳-845]_-;_-@_-</c:formatCode>
                <c:ptCount val="10"/>
                <c:pt idx="0">
                  <c:v>200</c:v>
                </c:pt>
              </c:numCache>
            </c:numRef>
          </c:val>
          <c:extLst>
            <c:ext xmlns:c16="http://schemas.microsoft.com/office/drawing/2014/chart" uri="{C3380CC4-5D6E-409C-BE32-E72D297353CC}">
              <c16:uniqueId val="{00000000-E46E-4A80-AF57-26639AFC6514}"/>
            </c:ext>
          </c:extLst>
        </c:ser>
        <c:ser>
          <c:idx val="1"/>
          <c:order val="1"/>
          <c:tx>
            <c:strRef>
              <c:f>Sheet9!$C$5:$C$6</c:f>
              <c:strCache>
                <c:ptCount val="1"/>
                <c:pt idx="0">
                  <c:v>February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Sheet9!$C$7:$C$17</c:f>
              <c:numCache>
                <c:formatCode>_-* #,##0[$৳-845]_-;\-* #,##0[$৳-845]_-;_-* "-"??[$৳-845]_-;_-@_-</c:formatCode>
                <c:ptCount val="10"/>
                <c:pt idx="7">
                  <c:v>300</c:v>
                </c:pt>
              </c:numCache>
            </c:numRef>
          </c:val>
          <c:extLst>
            <c:ext xmlns:c16="http://schemas.microsoft.com/office/drawing/2014/chart" uri="{C3380CC4-5D6E-409C-BE32-E72D297353CC}">
              <c16:uniqueId val="{00000001-607F-4E23-80F2-469B82BC6AE3}"/>
            </c:ext>
          </c:extLst>
        </c:ser>
        <c:ser>
          <c:idx val="2"/>
          <c:order val="2"/>
          <c:tx>
            <c:strRef>
              <c:f>Sheet9!$D$5:$D$6</c:f>
              <c:strCache>
                <c:ptCount val="1"/>
                <c:pt idx="0">
                  <c:v>March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Sheet9!$D$7:$D$17</c:f>
              <c:numCache>
                <c:formatCode>_-* #,##0[$৳-845]_-;\-* #,##0[$৳-845]_-;_-* "-"??[$৳-845]_-;_-@_-</c:formatCode>
                <c:ptCount val="10"/>
                <c:pt idx="6">
                  <c:v>400</c:v>
                </c:pt>
              </c:numCache>
            </c:numRef>
          </c:val>
          <c:extLst>
            <c:ext xmlns:c16="http://schemas.microsoft.com/office/drawing/2014/chart" uri="{C3380CC4-5D6E-409C-BE32-E72D297353CC}">
              <c16:uniqueId val="{00000002-607F-4E23-80F2-469B82BC6AE3}"/>
            </c:ext>
          </c:extLst>
        </c:ser>
        <c:ser>
          <c:idx val="3"/>
          <c:order val="3"/>
          <c:tx>
            <c:strRef>
              <c:f>Sheet9!$E$5:$E$6</c:f>
              <c:strCache>
                <c:ptCount val="1"/>
                <c:pt idx="0">
                  <c:v>April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Sheet9!$E$7:$E$17</c:f>
              <c:numCache>
                <c:formatCode>_-* #,##0[$৳-845]_-;\-* #,##0[$৳-845]_-;_-* "-"??[$৳-845]_-;_-@_-</c:formatCode>
                <c:ptCount val="10"/>
                <c:pt idx="3">
                  <c:v>500</c:v>
                </c:pt>
              </c:numCache>
            </c:numRef>
          </c:val>
          <c:extLst>
            <c:ext xmlns:c16="http://schemas.microsoft.com/office/drawing/2014/chart" uri="{C3380CC4-5D6E-409C-BE32-E72D297353CC}">
              <c16:uniqueId val="{00000003-607F-4E23-80F2-469B82BC6AE3}"/>
            </c:ext>
          </c:extLst>
        </c:ser>
        <c:ser>
          <c:idx val="4"/>
          <c:order val="4"/>
          <c:tx>
            <c:strRef>
              <c:f>Sheet9!$F$5:$F$6</c:f>
              <c:strCache>
                <c:ptCount val="1"/>
                <c:pt idx="0">
                  <c:v>May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Sheet9!$F$7:$F$17</c:f>
              <c:numCache>
                <c:formatCode>_-* #,##0[$৳-845]_-;\-* #,##0[$৳-845]_-;_-* "-"??[$৳-845]_-;_-@_-</c:formatCode>
                <c:ptCount val="10"/>
                <c:pt idx="5">
                  <c:v>600</c:v>
                </c:pt>
              </c:numCache>
            </c:numRef>
          </c:val>
          <c:extLst>
            <c:ext xmlns:c16="http://schemas.microsoft.com/office/drawing/2014/chart" uri="{C3380CC4-5D6E-409C-BE32-E72D297353CC}">
              <c16:uniqueId val="{00000004-607F-4E23-80F2-469B82BC6AE3}"/>
            </c:ext>
          </c:extLst>
        </c:ser>
        <c:ser>
          <c:idx val="5"/>
          <c:order val="5"/>
          <c:tx>
            <c:strRef>
              <c:f>Sheet9!$G$5:$G$6</c:f>
              <c:strCache>
                <c:ptCount val="1"/>
                <c:pt idx="0">
                  <c:v>June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Sheet9!$G$7:$G$17</c:f>
              <c:numCache>
                <c:formatCode>_-* #,##0[$৳-845]_-;\-* #,##0[$৳-845]_-;_-* "-"??[$৳-845]_-;_-@_-</c:formatCode>
                <c:ptCount val="10"/>
                <c:pt idx="8">
                  <c:v>700</c:v>
                </c:pt>
              </c:numCache>
            </c:numRef>
          </c:val>
          <c:extLst>
            <c:ext xmlns:c16="http://schemas.microsoft.com/office/drawing/2014/chart" uri="{C3380CC4-5D6E-409C-BE32-E72D297353CC}">
              <c16:uniqueId val="{00000005-607F-4E23-80F2-469B82BC6AE3}"/>
            </c:ext>
          </c:extLst>
        </c:ser>
        <c:ser>
          <c:idx val="6"/>
          <c:order val="6"/>
          <c:tx>
            <c:strRef>
              <c:f>Sheet9!$H$5:$H$6</c:f>
              <c:strCache>
                <c:ptCount val="1"/>
                <c:pt idx="0">
                  <c:v>July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Sheet9!$H$7:$H$17</c:f>
              <c:numCache>
                <c:formatCode>_-* #,##0[$৳-845]_-;\-* #,##0[$৳-845]_-;_-* "-"??[$৳-845]_-;_-@_-</c:formatCode>
                <c:ptCount val="10"/>
                <c:pt idx="1">
                  <c:v>800</c:v>
                </c:pt>
              </c:numCache>
            </c:numRef>
          </c:val>
          <c:extLst>
            <c:ext xmlns:c16="http://schemas.microsoft.com/office/drawing/2014/chart" uri="{C3380CC4-5D6E-409C-BE32-E72D297353CC}">
              <c16:uniqueId val="{00000006-607F-4E23-80F2-469B82BC6AE3}"/>
            </c:ext>
          </c:extLst>
        </c:ser>
        <c:ser>
          <c:idx val="7"/>
          <c:order val="7"/>
          <c:tx>
            <c:strRef>
              <c:f>Sheet9!$I$5:$I$6</c:f>
              <c:strCache>
                <c:ptCount val="1"/>
                <c:pt idx="0">
                  <c:v>August</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Sheet9!$I$7:$I$17</c:f>
              <c:numCache>
                <c:formatCode>_-* #,##0[$৳-845]_-;\-* #,##0[$৳-845]_-;_-* "-"??[$৳-845]_-;_-@_-</c:formatCode>
                <c:ptCount val="10"/>
                <c:pt idx="9">
                  <c:v>900</c:v>
                </c:pt>
              </c:numCache>
            </c:numRef>
          </c:val>
          <c:extLst>
            <c:ext xmlns:c16="http://schemas.microsoft.com/office/drawing/2014/chart" uri="{C3380CC4-5D6E-409C-BE32-E72D297353CC}">
              <c16:uniqueId val="{00000007-607F-4E23-80F2-469B82BC6AE3}"/>
            </c:ext>
          </c:extLst>
        </c:ser>
        <c:ser>
          <c:idx val="8"/>
          <c:order val="8"/>
          <c:tx>
            <c:strRef>
              <c:f>Sheet9!$J$5:$J$6</c:f>
              <c:strCache>
                <c:ptCount val="1"/>
                <c:pt idx="0">
                  <c:v>September</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Sheet9!$J$7:$J$17</c:f>
              <c:numCache>
                <c:formatCode>_-* #,##0[$৳-845]_-;\-* #,##0[$৳-845]_-;_-* "-"??[$৳-845]_-;_-@_-</c:formatCode>
                <c:ptCount val="10"/>
                <c:pt idx="2">
                  <c:v>1000</c:v>
                </c:pt>
              </c:numCache>
            </c:numRef>
          </c:val>
          <c:extLst>
            <c:ext xmlns:c16="http://schemas.microsoft.com/office/drawing/2014/chart" uri="{C3380CC4-5D6E-409C-BE32-E72D297353CC}">
              <c16:uniqueId val="{00000008-607F-4E23-80F2-469B82BC6AE3}"/>
            </c:ext>
          </c:extLst>
        </c:ser>
        <c:ser>
          <c:idx val="9"/>
          <c:order val="9"/>
          <c:tx>
            <c:strRef>
              <c:f>Sheet9!$K$5:$K$6</c:f>
              <c:strCache>
                <c:ptCount val="1"/>
                <c:pt idx="0">
                  <c:v>October</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Sheet9!$K$7:$K$17</c:f>
              <c:numCache>
                <c:formatCode>_-* #,##0[$৳-845]_-;\-* #,##0[$৳-845]_-;_-* "-"??[$৳-845]_-;_-@_-</c:formatCode>
                <c:ptCount val="10"/>
                <c:pt idx="4">
                  <c:v>1100</c:v>
                </c:pt>
              </c:numCache>
            </c:numRef>
          </c:val>
          <c:extLst>
            <c:ext xmlns:c16="http://schemas.microsoft.com/office/drawing/2014/chart" uri="{C3380CC4-5D6E-409C-BE32-E72D297353CC}">
              <c16:uniqueId val="{00000009-607F-4E23-80F2-469B82BC6AE3}"/>
            </c:ext>
          </c:extLst>
        </c:ser>
        <c:dLbls>
          <c:showLegendKey val="0"/>
          <c:showVal val="1"/>
          <c:showCatName val="0"/>
          <c:showSerName val="0"/>
          <c:showPercent val="0"/>
          <c:showBubbleSize val="0"/>
        </c:dLbls>
        <c:gapWidth val="150"/>
        <c:shape val="box"/>
        <c:axId val="1770991600"/>
        <c:axId val="1771018000"/>
        <c:axId val="0"/>
      </c:bar3DChart>
      <c:catAx>
        <c:axId val="1770991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1018000"/>
        <c:crosses val="autoZero"/>
        <c:auto val="1"/>
        <c:lblAlgn val="ctr"/>
        <c:lblOffset val="100"/>
        <c:noMultiLvlLbl val="0"/>
      </c:catAx>
      <c:valAx>
        <c:axId val="1771018000"/>
        <c:scaling>
          <c:orientation val="minMax"/>
        </c:scaling>
        <c:delete val="0"/>
        <c:axPos val="l"/>
        <c:majorGridlines>
          <c:spPr>
            <a:ln w="9525" cap="flat" cmpd="sng" algn="ctr">
              <a:solidFill>
                <a:schemeClr val="dk1">
                  <a:lumMod val="50000"/>
                  <a:lumOff val="50000"/>
                </a:schemeClr>
              </a:solidFill>
              <a:round/>
            </a:ln>
            <a:effectLst/>
          </c:spPr>
        </c:majorGridlines>
        <c:numFmt formatCode="_-* #,##0[$৳-845]_-;\-* #,##0[$৳-845]_-;_-* &quot;-&quot;??[$৳-845]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099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Analysis.xlsx]Sheet9!PivotTable3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12"/>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590322728034236E-2"/>
          <c:y val="0.38167564577370416"/>
          <c:w val="0.67436644887474173"/>
          <c:h val="0.51363643022421146"/>
        </c:manualLayout>
      </c:layout>
      <c:pie3DChart>
        <c:varyColors val="1"/>
        <c:ser>
          <c:idx val="0"/>
          <c:order val="0"/>
          <c:tx>
            <c:strRef>
              <c:f>Sheet9!$O$7</c:f>
              <c:strCache>
                <c:ptCount val="1"/>
                <c:pt idx="0">
                  <c:v>Sum of Sales Value2</c:v>
                </c:pt>
              </c:strCache>
            </c:strRef>
          </c:tx>
          <c:explosion val="17"/>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3-0765-4967-BD80-0FB2E3BC997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4-0765-4967-BD80-0FB2E3BC997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0765-4967-BD80-0FB2E3BC997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6-0765-4967-BD80-0FB2E3BC997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7-0765-4967-BD80-0FB2E3BC997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8-0765-4967-BD80-0FB2E3BC997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9-0765-4967-BD80-0FB2E3BC997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A-0765-4967-BD80-0FB2E3BC997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B-0765-4967-BD80-0FB2E3BC997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C-0765-4967-BD80-0FB2E3BC99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Sheet9!$N$8:$N$18</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Sheet9!$O$8:$O$18</c:f>
              <c:numCache>
                <c:formatCode>_-* #,##0[$৳-845]_-;\-* #,##0[$৳-845]_-;_-* "-"??[$৳-845]_-;_-@_-</c:formatCode>
                <c:ptCount val="10"/>
                <c:pt idx="0">
                  <c:v>10000</c:v>
                </c:pt>
                <c:pt idx="1">
                  <c:v>9000</c:v>
                </c:pt>
                <c:pt idx="2">
                  <c:v>8000</c:v>
                </c:pt>
                <c:pt idx="3">
                  <c:v>7000</c:v>
                </c:pt>
                <c:pt idx="4">
                  <c:v>6000</c:v>
                </c:pt>
                <c:pt idx="5">
                  <c:v>5000</c:v>
                </c:pt>
                <c:pt idx="6">
                  <c:v>4000</c:v>
                </c:pt>
                <c:pt idx="7">
                  <c:v>3000</c:v>
                </c:pt>
                <c:pt idx="8">
                  <c:v>2000</c:v>
                </c:pt>
                <c:pt idx="9">
                  <c:v>1000</c:v>
                </c:pt>
              </c:numCache>
            </c:numRef>
          </c:val>
          <c:extLst>
            <c:ext xmlns:c16="http://schemas.microsoft.com/office/drawing/2014/chart" uri="{C3380CC4-5D6E-409C-BE32-E72D297353CC}">
              <c16:uniqueId val="{00000000-0765-4967-BD80-0FB2E3BC9976}"/>
            </c:ext>
          </c:extLst>
        </c:ser>
        <c:ser>
          <c:idx val="1"/>
          <c:order val="1"/>
          <c:tx>
            <c:strRef>
              <c:f>Sheet9!$P$7</c:f>
              <c:strCache>
                <c:ptCount val="1"/>
                <c:pt idx="0">
                  <c:v>Sum of Sales Value1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D-0765-4967-BD80-0FB2E3BC997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E-0765-4967-BD80-0FB2E3BC997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F-0765-4967-BD80-0FB2E3BC997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10-0765-4967-BD80-0FB2E3BC997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11-0765-4967-BD80-0FB2E3BC997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12-0765-4967-BD80-0FB2E3BC997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3-0765-4967-BD80-0FB2E3BC997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4-0765-4967-BD80-0FB2E3BC997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5-0765-4967-BD80-0FB2E3BC997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6-0765-4967-BD80-0FB2E3BC99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Sheet9!$N$8:$N$18</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Sheet9!$P$8:$P$18</c:f>
              <c:numCache>
                <c:formatCode>_-* #,##0[$৳-845]_-;\-* #,##0[$৳-845]_-;_-* "-"??[$৳-845]_-;_-@_-</c:formatCode>
                <c:ptCount val="10"/>
                <c:pt idx="0">
                  <c:v>200</c:v>
                </c:pt>
                <c:pt idx="1">
                  <c:v>300</c:v>
                </c:pt>
                <c:pt idx="2">
                  <c:v>400</c:v>
                </c:pt>
                <c:pt idx="3">
                  <c:v>500</c:v>
                </c:pt>
                <c:pt idx="4">
                  <c:v>600</c:v>
                </c:pt>
                <c:pt idx="5">
                  <c:v>700</c:v>
                </c:pt>
                <c:pt idx="6">
                  <c:v>800</c:v>
                </c:pt>
                <c:pt idx="7">
                  <c:v>900</c:v>
                </c:pt>
                <c:pt idx="8">
                  <c:v>1000</c:v>
                </c:pt>
                <c:pt idx="9">
                  <c:v>1100</c:v>
                </c:pt>
              </c:numCache>
            </c:numRef>
          </c:val>
          <c:extLst>
            <c:ext xmlns:c16="http://schemas.microsoft.com/office/drawing/2014/chart" uri="{C3380CC4-5D6E-409C-BE32-E72D297353CC}">
              <c16:uniqueId val="{00000001-0765-4967-BD80-0FB2E3BC997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Analysis.xlsx]Sheet9!PivotTable5</c:name>
    <c:fmtId val="7"/>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17591621011166"/>
          <c:y val="0.1290249411798253"/>
          <c:w val="0.49611483749716473"/>
          <c:h val="0.81369218479797045"/>
        </c:manualLayout>
      </c:layout>
      <c:barChart>
        <c:barDir val="bar"/>
        <c:grouping val="stacked"/>
        <c:varyColors val="0"/>
        <c:ser>
          <c:idx val="0"/>
          <c:order val="0"/>
          <c:tx>
            <c:strRef>
              <c:f>Sheet9!$S$7</c:f>
              <c:strCache>
                <c:ptCount val="1"/>
                <c:pt idx="0">
                  <c:v>Average of Sales Value2</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Sheet9!$R$8:$R$15</c:f>
              <c:strCache>
                <c:ptCount val="7"/>
                <c:pt idx="0">
                  <c:v>Tuesday</c:v>
                </c:pt>
                <c:pt idx="1">
                  <c:v>Saturday</c:v>
                </c:pt>
                <c:pt idx="2">
                  <c:v>Wednesday</c:v>
                </c:pt>
                <c:pt idx="3">
                  <c:v>Sunday</c:v>
                </c:pt>
                <c:pt idx="4">
                  <c:v>Thursday</c:v>
                </c:pt>
                <c:pt idx="5">
                  <c:v>Monday</c:v>
                </c:pt>
                <c:pt idx="6">
                  <c:v>Friday</c:v>
                </c:pt>
              </c:strCache>
            </c:strRef>
          </c:cat>
          <c:val>
            <c:numRef>
              <c:f>Sheet9!$S$8:$S$15</c:f>
              <c:numCache>
                <c:formatCode>_-* #,##0[$৳-845]_-;\-* #,##0[$৳-845]_-;_-* "-"??[$৳-845]_-;_-@_-</c:formatCode>
                <c:ptCount val="7"/>
                <c:pt idx="0">
                  <c:v>7000</c:v>
                </c:pt>
                <c:pt idx="1">
                  <c:v>6500</c:v>
                </c:pt>
                <c:pt idx="2">
                  <c:v>6000</c:v>
                </c:pt>
                <c:pt idx="3">
                  <c:v>5500</c:v>
                </c:pt>
                <c:pt idx="4">
                  <c:v>5000</c:v>
                </c:pt>
                <c:pt idx="5">
                  <c:v>4500</c:v>
                </c:pt>
                <c:pt idx="6">
                  <c:v>4000</c:v>
                </c:pt>
              </c:numCache>
            </c:numRef>
          </c:val>
          <c:extLst>
            <c:ext xmlns:c16="http://schemas.microsoft.com/office/drawing/2014/chart" uri="{C3380CC4-5D6E-409C-BE32-E72D297353CC}">
              <c16:uniqueId val="{00000000-1674-40ED-9312-478152311CB0}"/>
            </c:ext>
          </c:extLst>
        </c:ser>
        <c:ser>
          <c:idx val="1"/>
          <c:order val="1"/>
          <c:tx>
            <c:strRef>
              <c:f>Sheet9!$T$7</c:f>
              <c:strCache>
                <c:ptCount val="1"/>
                <c:pt idx="0">
                  <c:v>Average of Sales Value1</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Sheet9!$R$8:$R$15</c:f>
              <c:strCache>
                <c:ptCount val="7"/>
                <c:pt idx="0">
                  <c:v>Tuesday</c:v>
                </c:pt>
                <c:pt idx="1">
                  <c:v>Saturday</c:v>
                </c:pt>
                <c:pt idx="2">
                  <c:v>Wednesday</c:v>
                </c:pt>
                <c:pt idx="3">
                  <c:v>Sunday</c:v>
                </c:pt>
                <c:pt idx="4">
                  <c:v>Thursday</c:v>
                </c:pt>
                <c:pt idx="5">
                  <c:v>Monday</c:v>
                </c:pt>
                <c:pt idx="6">
                  <c:v>Friday</c:v>
                </c:pt>
              </c:strCache>
            </c:strRef>
          </c:cat>
          <c:val>
            <c:numRef>
              <c:f>Sheet9!$T$8:$T$15</c:f>
              <c:numCache>
                <c:formatCode>_-* #,##0[$৳-845]_-;\-* #,##0[$৳-845]_-;_-* "-"??[$৳-845]_-;_-@_-</c:formatCode>
                <c:ptCount val="7"/>
                <c:pt idx="0">
                  <c:v>500</c:v>
                </c:pt>
                <c:pt idx="1">
                  <c:v>550</c:v>
                </c:pt>
                <c:pt idx="2">
                  <c:v>600</c:v>
                </c:pt>
                <c:pt idx="3">
                  <c:v>650</c:v>
                </c:pt>
                <c:pt idx="4">
                  <c:v>700</c:v>
                </c:pt>
                <c:pt idx="5">
                  <c:v>750</c:v>
                </c:pt>
                <c:pt idx="6">
                  <c:v>800</c:v>
                </c:pt>
              </c:numCache>
            </c:numRef>
          </c:val>
          <c:extLst>
            <c:ext xmlns:c16="http://schemas.microsoft.com/office/drawing/2014/chart" uri="{C3380CC4-5D6E-409C-BE32-E72D297353CC}">
              <c16:uniqueId val="{00000002-1674-40ED-9312-478152311CB0}"/>
            </c:ext>
          </c:extLst>
        </c:ser>
        <c:dLbls>
          <c:dLblPos val="ctr"/>
          <c:showLegendKey val="0"/>
          <c:showVal val="1"/>
          <c:showCatName val="0"/>
          <c:showSerName val="0"/>
          <c:showPercent val="0"/>
          <c:showBubbleSize val="0"/>
        </c:dLbls>
        <c:gapWidth val="150"/>
        <c:overlap val="100"/>
        <c:axId val="1776811776"/>
        <c:axId val="1776813216"/>
      </c:barChart>
      <c:catAx>
        <c:axId val="17768117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76813216"/>
        <c:crosses val="autoZero"/>
        <c:auto val="1"/>
        <c:lblAlgn val="ctr"/>
        <c:lblOffset val="100"/>
        <c:noMultiLvlLbl val="0"/>
      </c:catAx>
      <c:valAx>
        <c:axId val="1776813216"/>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845]_-;\-* #,##0[$৳-845]_-;_-* &quot;-&quot;??[$৳-845]_-;_-@_-" sourceLinked="1"/>
        <c:majorTickMark val="none"/>
        <c:minorTickMark val="none"/>
        <c:tickLblPos val="nextTo"/>
        <c:crossAx val="1776811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Analysis.xlsx]sales!PivotTable1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3.0056933838044114E-2"/>
              <c:y val="5.1907626130067074E-2"/>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1988815468418204E-2"/>
              <c:y val="-3.5131233595800525E-2"/>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3601340033500838E-2"/>
              <c:y val="4.3853893263342083E-4"/>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5.3042992741485204E-2"/>
                  <c:h val="9.375E-2"/>
                </c:manualLayout>
              </c15:layout>
            </c:ext>
          </c:extLst>
        </c:dLbl>
      </c:pivotFmt>
      <c:pivotFmt>
        <c:idx val="11"/>
        <c:spPr>
          <a:solidFill>
            <a:schemeClr val="accent1"/>
          </a:solidFill>
          <a:ln w="19050">
            <a:solidFill>
              <a:schemeClr val="lt1"/>
            </a:solidFill>
          </a:ln>
          <a:effectLst/>
        </c:spPr>
        <c:dLbl>
          <c:idx val="0"/>
          <c:layout>
            <c:manualLayout>
              <c:x val="-4.5930263742157876E-2"/>
              <c:y val="-1.3210484106153398E-2"/>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9656022896635407E-2"/>
              <c:y val="-1.8989501312335958E-2"/>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sales!$I$25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FA-41E6-9483-A43356D637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FA-41E6-9483-A43356D637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FA-41E6-9483-A43356D637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FA-41E6-9483-A43356D6373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CFA-41E6-9483-A43356D6373C}"/>
              </c:ext>
            </c:extLst>
          </c:dPt>
          <c:dLbls>
            <c:dLbl>
              <c:idx val="0"/>
              <c:layout>
                <c:manualLayout>
                  <c:x val="3.0056933838044114E-2"/>
                  <c:y val="5.19076261300670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FA-41E6-9483-A43356D6373C}"/>
                </c:ext>
              </c:extLst>
            </c:dLbl>
            <c:dLbl>
              <c:idx val="1"/>
              <c:layout>
                <c:manualLayout>
                  <c:x val="3.1988815468418204E-2"/>
                  <c:y val="-3.513123359580052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FA-41E6-9483-A43356D6373C}"/>
                </c:ext>
              </c:extLst>
            </c:dLbl>
            <c:dLbl>
              <c:idx val="2"/>
              <c:layout>
                <c:manualLayout>
                  <c:x val="-5.3601340033500838E-2"/>
                  <c:y val="4.3853893263342083E-4"/>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5.3042992741485204E-2"/>
                      <c:h val="9.375E-2"/>
                    </c:manualLayout>
                  </c15:layout>
                </c:ext>
                <c:ext xmlns:c16="http://schemas.microsoft.com/office/drawing/2014/chart" uri="{C3380CC4-5D6E-409C-BE32-E72D297353CC}">
                  <c16:uniqueId val="{00000005-2CFA-41E6-9483-A43356D6373C}"/>
                </c:ext>
              </c:extLst>
            </c:dLbl>
            <c:dLbl>
              <c:idx val="3"/>
              <c:layout>
                <c:manualLayout>
                  <c:x val="-4.5930263742157876E-2"/>
                  <c:y val="-1.32104841061533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FA-41E6-9483-A43356D6373C}"/>
                </c:ext>
              </c:extLst>
            </c:dLbl>
            <c:dLbl>
              <c:idx val="4"/>
              <c:layout>
                <c:manualLayout>
                  <c:x val="-1.9656022896635407E-2"/>
                  <c:y val="-1.898950131233595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CFA-41E6-9483-A43356D6373C}"/>
                </c:ext>
              </c:extLst>
            </c:dLbl>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sales!$H$26:$H$31</c:f>
              <c:strCache>
                <c:ptCount val="5"/>
                <c:pt idx="0">
                  <c:v>Sofa Set</c:v>
                </c:pt>
                <c:pt idx="1">
                  <c:v>Smartphone</c:v>
                </c:pt>
                <c:pt idx="2">
                  <c:v>Office Chair</c:v>
                </c:pt>
                <c:pt idx="3">
                  <c:v>Bed</c:v>
                </c:pt>
                <c:pt idx="4">
                  <c:v>Headphones</c:v>
                </c:pt>
              </c:strCache>
            </c:strRef>
          </c:cat>
          <c:val>
            <c:numRef>
              <c:f>sales!$I$26:$I$31</c:f>
              <c:numCache>
                <c:formatCode>General</c:formatCode>
                <c:ptCount val="5"/>
                <c:pt idx="0">
                  <c:v>7</c:v>
                </c:pt>
                <c:pt idx="1">
                  <c:v>6</c:v>
                </c:pt>
                <c:pt idx="2">
                  <c:v>6</c:v>
                </c:pt>
                <c:pt idx="3">
                  <c:v>5</c:v>
                </c:pt>
                <c:pt idx="4">
                  <c:v>5</c:v>
                </c:pt>
              </c:numCache>
            </c:numRef>
          </c:val>
          <c:extLst>
            <c:ext xmlns:c16="http://schemas.microsoft.com/office/drawing/2014/chart" uri="{C3380CC4-5D6E-409C-BE32-E72D297353CC}">
              <c16:uniqueId val="{0000000A-2CFA-41E6-9483-A43356D637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Analysis.xlsx]sales!PivotTable6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sales!$M$15</c:f>
              <c:strCache>
                <c:ptCount val="1"/>
                <c:pt idx="0">
                  <c:v>Sum of quanatity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sales!$L$16:$L$20</c:f>
              <c:strCache>
                <c:ptCount val="4"/>
                <c:pt idx="0">
                  <c:v>Jan</c:v>
                </c:pt>
                <c:pt idx="1">
                  <c:v>Feb</c:v>
                </c:pt>
                <c:pt idx="2">
                  <c:v>Mar</c:v>
                </c:pt>
                <c:pt idx="3">
                  <c:v>Apr</c:v>
                </c:pt>
              </c:strCache>
            </c:strRef>
          </c:cat>
          <c:val>
            <c:numRef>
              <c:f>sales!$M$16:$M$20</c:f>
              <c:numCache>
                <c:formatCode>General</c:formatCode>
                <c:ptCount val="4"/>
                <c:pt idx="0">
                  <c:v>15</c:v>
                </c:pt>
                <c:pt idx="1">
                  <c:v>13</c:v>
                </c:pt>
                <c:pt idx="2">
                  <c:v>11</c:v>
                </c:pt>
                <c:pt idx="3">
                  <c:v>7</c:v>
                </c:pt>
              </c:numCache>
            </c:numRef>
          </c:val>
          <c:extLst>
            <c:ext xmlns:c16="http://schemas.microsoft.com/office/drawing/2014/chart" uri="{C3380CC4-5D6E-409C-BE32-E72D297353CC}">
              <c16:uniqueId val="{00000000-3EA9-4CAE-A279-914CBEF0CD6D}"/>
            </c:ext>
          </c:extLst>
        </c:ser>
        <c:ser>
          <c:idx val="1"/>
          <c:order val="1"/>
          <c:tx>
            <c:strRef>
              <c:f>sales!$N$15</c:f>
              <c:strCache>
                <c:ptCount val="1"/>
                <c:pt idx="0">
                  <c:v>Sum of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sales!$L$16:$L$20</c:f>
              <c:strCache>
                <c:ptCount val="4"/>
                <c:pt idx="0">
                  <c:v>Jan</c:v>
                </c:pt>
                <c:pt idx="1">
                  <c:v>Feb</c:v>
                </c:pt>
                <c:pt idx="2">
                  <c:v>Mar</c:v>
                </c:pt>
                <c:pt idx="3">
                  <c:v>Apr</c:v>
                </c:pt>
              </c:strCache>
            </c:strRef>
          </c:cat>
          <c:val>
            <c:numRef>
              <c:f>sales!$N$16:$N$20</c:f>
              <c:numCache>
                <c:formatCode>General</c:formatCode>
                <c:ptCount val="4"/>
                <c:pt idx="0">
                  <c:v>167500</c:v>
                </c:pt>
                <c:pt idx="1">
                  <c:v>247000</c:v>
                </c:pt>
                <c:pt idx="2">
                  <c:v>47500</c:v>
                </c:pt>
                <c:pt idx="3">
                  <c:v>127000</c:v>
                </c:pt>
              </c:numCache>
            </c:numRef>
          </c:val>
          <c:extLst>
            <c:ext xmlns:c16="http://schemas.microsoft.com/office/drawing/2014/chart" uri="{C3380CC4-5D6E-409C-BE32-E72D297353CC}">
              <c16:uniqueId val="{00000001-3EA9-4CAE-A279-914CBEF0CD6D}"/>
            </c:ext>
          </c:extLst>
        </c:ser>
        <c:dLbls>
          <c:dLblPos val="outEnd"/>
          <c:showLegendKey val="0"/>
          <c:showVal val="1"/>
          <c:showCatName val="0"/>
          <c:showSerName val="0"/>
          <c:showPercent val="0"/>
          <c:showBubbleSize val="0"/>
        </c:dLbls>
        <c:gapWidth val="219"/>
        <c:overlap val="-27"/>
        <c:axId val="903557072"/>
        <c:axId val="903570512"/>
      </c:barChart>
      <c:catAx>
        <c:axId val="903557072"/>
        <c:scaling>
          <c:orientation val="minMax"/>
        </c:scaling>
        <c:delete val="1"/>
        <c:axPos val="b"/>
        <c:numFmt formatCode="General" sourceLinked="1"/>
        <c:majorTickMark val="none"/>
        <c:minorTickMark val="none"/>
        <c:tickLblPos val="nextTo"/>
        <c:crossAx val="903570512"/>
        <c:crosses val="autoZero"/>
        <c:auto val="1"/>
        <c:lblAlgn val="ctr"/>
        <c:lblOffset val="100"/>
        <c:noMultiLvlLbl val="0"/>
      </c:catAx>
      <c:valAx>
        <c:axId val="903570512"/>
        <c:scaling>
          <c:orientation val="minMax"/>
        </c:scaling>
        <c:delete val="1"/>
        <c:axPos val="l"/>
        <c:numFmt formatCode="General" sourceLinked="1"/>
        <c:majorTickMark val="none"/>
        <c:minorTickMark val="none"/>
        <c:tickLblPos val="nextTo"/>
        <c:crossAx val="90355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Analysis.xlsx]sales!PivotTable3</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sales!$D$23</c:f>
              <c:strCache>
                <c:ptCount val="1"/>
                <c:pt idx="0">
                  <c:v>Total</c:v>
                </c:pt>
              </c:strCache>
            </c:strRef>
          </c:tx>
          <c:spPr>
            <a:solidFill>
              <a:schemeClr val="tx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sales!$C$24:$C$29</c:f>
              <c:strCache>
                <c:ptCount val="5"/>
                <c:pt idx="0">
                  <c:v>Rahim</c:v>
                </c:pt>
                <c:pt idx="1">
                  <c:v>Nayeem</c:v>
                </c:pt>
                <c:pt idx="2">
                  <c:v>Sumon</c:v>
                </c:pt>
                <c:pt idx="3">
                  <c:v>David</c:v>
                </c:pt>
                <c:pt idx="4">
                  <c:v>Daniel</c:v>
                </c:pt>
              </c:strCache>
            </c:strRef>
          </c:cat>
          <c:val>
            <c:numRef>
              <c:f>sales!$D$24:$D$29</c:f>
              <c:numCache>
                <c:formatCode>General</c:formatCode>
                <c:ptCount val="5"/>
                <c:pt idx="0">
                  <c:v>78500</c:v>
                </c:pt>
                <c:pt idx="1">
                  <c:v>75000</c:v>
                </c:pt>
                <c:pt idx="2">
                  <c:v>65000</c:v>
                </c:pt>
                <c:pt idx="3">
                  <c:v>65000</c:v>
                </c:pt>
                <c:pt idx="4">
                  <c:v>55000</c:v>
                </c:pt>
              </c:numCache>
            </c:numRef>
          </c:val>
          <c:extLst>
            <c:ext xmlns:c16="http://schemas.microsoft.com/office/drawing/2014/chart" uri="{C3380CC4-5D6E-409C-BE32-E72D297353CC}">
              <c16:uniqueId val="{00000000-EFFB-4470-A55A-B5292149E69E}"/>
            </c:ext>
          </c:extLst>
        </c:ser>
        <c:dLbls>
          <c:showLegendKey val="0"/>
          <c:showVal val="1"/>
          <c:showCatName val="0"/>
          <c:showSerName val="0"/>
          <c:showPercent val="0"/>
          <c:showBubbleSize val="0"/>
        </c:dLbls>
        <c:gapWidth val="150"/>
        <c:shape val="box"/>
        <c:axId val="903582032"/>
        <c:axId val="903568592"/>
        <c:axId val="0"/>
      </c:bar3DChart>
      <c:catAx>
        <c:axId val="903582032"/>
        <c:scaling>
          <c:orientation val="minMax"/>
        </c:scaling>
        <c:delete val="1"/>
        <c:axPos val="l"/>
        <c:numFmt formatCode="General" sourceLinked="1"/>
        <c:majorTickMark val="none"/>
        <c:minorTickMark val="none"/>
        <c:tickLblPos val="nextTo"/>
        <c:crossAx val="903568592"/>
        <c:crosses val="autoZero"/>
        <c:auto val="1"/>
        <c:lblAlgn val="ctr"/>
        <c:lblOffset val="100"/>
        <c:noMultiLvlLbl val="0"/>
      </c:catAx>
      <c:valAx>
        <c:axId val="903568592"/>
        <c:scaling>
          <c:orientation val="minMax"/>
        </c:scaling>
        <c:delete val="1"/>
        <c:axPos val="b"/>
        <c:numFmt formatCode="General" sourceLinked="1"/>
        <c:majorTickMark val="none"/>
        <c:minorTickMark val="none"/>
        <c:tickLblPos val="nextTo"/>
        <c:crossAx val="90358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Analysis.xlsx]sales!PivotTable5</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ln>
          <a:effectLst/>
        </c:spPr>
        <c:marker>
          <c:symbol val="none"/>
        </c:marker>
      </c:pivotFmt>
      <c:pivotFmt>
        <c:idx val="4"/>
        <c:spPr>
          <a:ln w="28575" cap="rnd">
            <a:solidFill>
              <a:schemeClr val="tx1"/>
            </a:solidFill>
            <a:round/>
          </a:ln>
          <a:effectLst/>
        </c:spPr>
        <c:marker>
          <c:symbol val="none"/>
        </c:marker>
      </c:pivotFmt>
      <c:pivotFmt>
        <c:idx val="5"/>
        <c:spPr>
          <a:ln w="28575" cap="rnd">
            <a:solidFill>
              <a:schemeClr val="tx1"/>
            </a:solidFill>
            <a:round/>
          </a:ln>
          <a:effectLst/>
        </c:spPr>
        <c:marker>
          <c:symbol val="none"/>
        </c:marker>
      </c:pivotFmt>
      <c:pivotFmt>
        <c:idx val="6"/>
        <c:spPr>
          <a:ln w="28575" cap="rnd">
            <a:solidFill>
              <a:schemeClr val="tx1"/>
            </a:solidFill>
            <a:round/>
          </a:ln>
          <a:effectLst/>
        </c:spPr>
        <c:marker>
          <c:symbol val="none"/>
        </c:marker>
      </c:pivotFmt>
    </c:pivotFmts>
    <c:plotArea>
      <c:layout/>
      <c:lineChart>
        <c:grouping val="standard"/>
        <c:varyColors val="0"/>
        <c:ser>
          <c:idx val="0"/>
          <c:order val="0"/>
          <c:tx>
            <c:strRef>
              <c:f>sales!$J$15</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tx1"/>
                </a:solidFill>
                <a:round/>
              </a:ln>
              <a:effectLst/>
            </c:spPr>
            <c:extLst>
              <c:ext xmlns:c16="http://schemas.microsoft.com/office/drawing/2014/chart" uri="{C3380CC4-5D6E-409C-BE32-E72D297353CC}">
                <c16:uniqueId val="{00000001-6358-4E7B-9967-096E342B5BF6}"/>
              </c:ext>
            </c:extLst>
          </c:dPt>
          <c:dPt>
            <c:idx val="2"/>
            <c:marker>
              <c:symbol val="none"/>
            </c:marker>
            <c:bubble3D val="0"/>
            <c:spPr>
              <a:ln w="28575" cap="rnd">
                <a:solidFill>
                  <a:schemeClr val="tx1"/>
                </a:solidFill>
                <a:round/>
              </a:ln>
              <a:effectLst/>
            </c:spPr>
            <c:extLst>
              <c:ext xmlns:c16="http://schemas.microsoft.com/office/drawing/2014/chart" uri="{C3380CC4-5D6E-409C-BE32-E72D297353CC}">
                <c16:uniqueId val="{00000002-6358-4E7B-9967-096E342B5BF6}"/>
              </c:ext>
            </c:extLst>
          </c:dPt>
          <c:dPt>
            <c:idx val="3"/>
            <c:marker>
              <c:symbol val="none"/>
            </c:marker>
            <c:bubble3D val="0"/>
            <c:spPr>
              <a:ln w="28575" cap="rnd">
                <a:solidFill>
                  <a:schemeClr val="tx1"/>
                </a:solidFill>
                <a:round/>
              </a:ln>
              <a:effectLst/>
            </c:spPr>
            <c:extLst>
              <c:ext xmlns:c16="http://schemas.microsoft.com/office/drawing/2014/chart" uri="{C3380CC4-5D6E-409C-BE32-E72D297353CC}">
                <c16:uniqueId val="{00000003-6358-4E7B-9967-096E342B5BF6}"/>
              </c:ext>
            </c:extLst>
          </c:dPt>
          <c:dPt>
            <c:idx val="4"/>
            <c:marker>
              <c:symbol val="none"/>
            </c:marker>
            <c:bubble3D val="0"/>
            <c:spPr>
              <a:ln w="28575" cap="rnd">
                <a:solidFill>
                  <a:schemeClr val="tx1"/>
                </a:solidFill>
                <a:round/>
              </a:ln>
              <a:effectLst/>
            </c:spPr>
            <c:extLst>
              <c:ext xmlns:c16="http://schemas.microsoft.com/office/drawing/2014/chart" uri="{C3380CC4-5D6E-409C-BE32-E72D297353CC}">
                <c16:uniqueId val="{00000004-6358-4E7B-9967-096E342B5BF6}"/>
              </c:ext>
            </c:extLst>
          </c:dPt>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sales!$I$16:$I$21</c:f>
              <c:strCache>
                <c:ptCount val="5"/>
                <c:pt idx="0">
                  <c:v>Bangladesh</c:v>
                </c:pt>
                <c:pt idx="1">
                  <c:v>Canada</c:v>
                </c:pt>
                <c:pt idx="2">
                  <c:v>India</c:v>
                </c:pt>
                <c:pt idx="3">
                  <c:v>UK</c:v>
                </c:pt>
                <c:pt idx="4">
                  <c:v>USA</c:v>
                </c:pt>
              </c:strCache>
            </c:strRef>
          </c:cat>
          <c:val>
            <c:numRef>
              <c:f>sales!$J$16:$J$21</c:f>
              <c:numCache>
                <c:formatCode>General</c:formatCode>
                <c:ptCount val="5"/>
                <c:pt idx="0">
                  <c:v>414500</c:v>
                </c:pt>
                <c:pt idx="1">
                  <c:v>7000</c:v>
                </c:pt>
                <c:pt idx="2">
                  <c:v>23500</c:v>
                </c:pt>
                <c:pt idx="3">
                  <c:v>120000</c:v>
                </c:pt>
                <c:pt idx="4">
                  <c:v>24000</c:v>
                </c:pt>
              </c:numCache>
            </c:numRef>
          </c:val>
          <c:smooth val="0"/>
          <c:extLst>
            <c:ext xmlns:c16="http://schemas.microsoft.com/office/drawing/2014/chart" uri="{C3380CC4-5D6E-409C-BE32-E72D297353CC}">
              <c16:uniqueId val="{00000000-6358-4E7B-9967-096E342B5BF6}"/>
            </c:ext>
          </c:extLst>
        </c:ser>
        <c:dLbls>
          <c:dLblPos val="t"/>
          <c:showLegendKey val="0"/>
          <c:showVal val="1"/>
          <c:showCatName val="0"/>
          <c:showSerName val="0"/>
          <c:showPercent val="0"/>
          <c:showBubbleSize val="0"/>
        </c:dLbls>
        <c:smooth val="0"/>
        <c:axId val="903534992"/>
        <c:axId val="903581072"/>
      </c:lineChart>
      <c:catAx>
        <c:axId val="903534992"/>
        <c:scaling>
          <c:orientation val="minMax"/>
        </c:scaling>
        <c:delete val="1"/>
        <c:axPos val="b"/>
        <c:numFmt formatCode="General" sourceLinked="1"/>
        <c:majorTickMark val="none"/>
        <c:minorTickMark val="none"/>
        <c:tickLblPos val="nextTo"/>
        <c:crossAx val="903581072"/>
        <c:crosses val="autoZero"/>
        <c:auto val="1"/>
        <c:lblAlgn val="ctr"/>
        <c:lblOffset val="100"/>
        <c:noMultiLvlLbl val="0"/>
      </c:catAx>
      <c:valAx>
        <c:axId val="903581072"/>
        <c:scaling>
          <c:orientation val="minMax"/>
        </c:scaling>
        <c:delete val="1"/>
        <c:axPos val="l"/>
        <c:numFmt formatCode="General" sourceLinked="1"/>
        <c:majorTickMark val="none"/>
        <c:minorTickMark val="none"/>
        <c:tickLblPos val="nextTo"/>
        <c:crossAx val="90353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a:noFill/>
          </a:ln>
          <a:effectLst>
            <a:innerShdw dist="12700" dir="16200000">
              <a:schemeClr val="lt1"/>
            </a:innerShdw>
          </a:effectLst>
          <a:scene3d>
            <a:camera prst="orthographicFront"/>
            <a:lightRig rig="threePt" dir="t"/>
          </a:scene3d>
          <a:sp3d prstMaterial="dkEdge"/>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3334356763487432E-2"/>
          <c:y val="0.16998810228448091"/>
          <c:w val="0.87116607773851595"/>
          <c:h val="0.67756361602340687"/>
        </c:manualLayout>
      </c:layout>
      <c:bar3DChart>
        <c:barDir val="col"/>
        <c:grouping val="clustered"/>
        <c:varyColors val="0"/>
        <c:ser>
          <c:idx val="0"/>
          <c:order val="0"/>
          <c:tx>
            <c:v>Total</c:v>
          </c:tx>
          <c:spPr>
            <a:solidFill>
              <a:schemeClr val="accent4">
                <a:alpha val="85000"/>
              </a:schemeClr>
            </a:solidFill>
            <a:ln>
              <a:noFill/>
            </a:ln>
            <a:effectLst>
              <a:innerShdw dist="12700" dir="16200000">
                <a:schemeClr val="lt1"/>
              </a:innerShdw>
            </a:effectLst>
            <a:scene3d>
              <a:camera prst="orthographicFront"/>
              <a:lightRig rig="threePt" dir="t"/>
            </a:scene3d>
            <a:sp3d prstMaterial="dkEdge"/>
          </c:spPr>
          <c:invertIfNegative val="0"/>
          <c:dLbls>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6"/>
              <c:pt idx="0">
                <c:v>USA</c:v>
              </c:pt>
              <c:pt idx="1">
                <c:v>Banglades</c:v>
              </c:pt>
              <c:pt idx="2">
                <c:v>UK</c:v>
              </c:pt>
              <c:pt idx="3">
                <c:v>Indian</c:v>
              </c:pt>
              <c:pt idx="4">
                <c:v>Canada</c:v>
              </c:pt>
              <c:pt idx="5">
                <c:v>Bangladesh</c:v>
              </c:pt>
            </c:strLit>
          </c:cat>
          <c:val>
            <c:numLit>
              <c:formatCode>General</c:formatCode>
              <c:ptCount val="6"/>
              <c:pt idx="0">
                <c:v>85000</c:v>
              </c:pt>
              <c:pt idx="1">
                <c:v>45000</c:v>
              </c:pt>
              <c:pt idx="2">
                <c:v>40000</c:v>
              </c:pt>
              <c:pt idx="3">
                <c:v>12000</c:v>
              </c:pt>
              <c:pt idx="4">
                <c:v>10000</c:v>
              </c:pt>
              <c:pt idx="5">
                <c:v>6000</c:v>
              </c:pt>
            </c:numLit>
          </c:val>
          <c:shape val="cylinder"/>
          <c:extLst>
            <c:ext xmlns:c16="http://schemas.microsoft.com/office/drawing/2014/chart" uri="{C3380CC4-5D6E-409C-BE32-E72D297353CC}">
              <c16:uniqueId val="{00000000-B01D-4605-80A1-E595390489E8}"/>
            </c:ext>
          </c:extLst>
        </c:ser>
        <c:dLbls>
          <c:showLegendKey val="0"/>
          <c:showVal val="1"/>
          <c:showCatName val="0"/>
          <c:showSerName val="0"/>
          <c:showPercent val="0"/>
          <c:showBubbleSize val="0"/>
        </c:dLbls>
        <c:gapWidth val="128"/>
        <c:gapDepth val="116"/>
        <c:shape val="box"/>
        <c:axId val="1974780111"/>
        <c:axId val="1974790191"/>
        <c:axId val="0"/>
      </c:bar3DChart>
      <c:catAx>
        <c:axId val="1974780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4790191"/>
        <c:crosses val="autoZero"/>
        <c:auto val="1"/>
        <c:lblAlgn val="ctr"/>
        <c:lblOffset val="100"/>
        <c:noMultiLvlLbl val="0"/>
      </c:catAx>
      <c:valAx>
        <c:axId val="1974790191"/>
        <c:scaling>
          <c:orientation val="minMax"/>
        </c:scaling>
        <c:delete val="1"/>
        <c:axPos val="l"/>
        <c:numFmt formatCode="General" sourceLinked="1"/>
        <c:majorTickMark val="out"/>
        <c:minorTickMark val="none"/>
        <c:tickLblPos val="nextTo"/>
        <c:crossAx val="197478011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v>Total</c:v>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Shoes</c:v>
              </c:pt>
              <c:pt idx="1">
                <c:v>Printer</c:v>
              </c:pt>
              <c:pt idx="2">
                <c:v>Keyboard</c:v>
              </c:pt>
              <c:pt idx="3">
                <c:v>Mouse</c:v>
              </c:pt>
              <c:pt idx="4">
                <c:v>Laptop</c:v>
              </c:pt>
              <c:pt idx="5">
                <c:v>Tv</c:v>
              </c:pt>
              <c:pt idx="6">
                <c:v>Phone</c:v>
              </c:pt>
            </c:strLit>
          </c:cat>
          <c:val>
            <c:numLit>
              <c:formatCode>General</c:formatCode>
              <c:ptCount val="7"/>
              <c:pt idx="0">
                <c:v>2</c:v>
              </c:pt>
              <c:pt idx="1">
                <c:v>2</c:v>
              </c:pt>
              <c:pt idx="2">
                <c:v>2</c:v>
              </c:pt>
              <c:pt idx="3">
                <c:v>2</c:v>
              </c:pt>
              <c:pt idx="4">
                <c:v>1</c:v>
              </c:pt>
              <c:pt idx="5">
                <c:v>1</c:v>
              </c:pt>
              <c:pt idx="6">
                <c:v>1</c:v>
              </c:pt>
            </c:numLit>
          </c:val>
          <c:extLst>
            <c:ext xmlns:c16="http://schemas.microsoft.com/office/drawing/2014/chart" uri="{C3380CC4-5D6E-409C-BE32-E72D297353CC}">
              <c16:uniqueId val="{00000000-AB3C-4D8E-B0B3-B420628940F2}"/>
            </c:ext>
          </c:extLst>
        </c:ser>
        <c:dLbls>
          <c:showLegendKey val="0"/>
          <c:showVal val="1"/>
          <c:showCatName val="0"/>
          <c:showSerName val="0"/>
          <c:showPercent val="0"/>
          <c:showBubbleSize val="0"/>
        </c:dLbls>
        <c:axId val="1974804111"/>
        <c:axId val="1974794511"/>
      </c:radarChart>
      <c:catAx>
        <c:axId val="1974804111"/>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4794511"/>
        <c:crosses val="autoZero"/>
        <c:auto val="1"/>
        <c:lblAlgn val="ctr"/>
        <c:lblOffset val="100"/>
        <c:noMultiLvlLbl val="0"/>
      </c:catAx>
      <c:valAx>
        <c:axId val="1974794511"/>
        <c:scaling>
          <c:orientation val="minMax"/>
        </c:scaling>
        <c:delete val="1"/>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crossAx val="197480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cene3d>
            <a:camera prst="orthographicFront"/>
            <a:lightRig rig="threePt" dir="t"/>
          </a:scene3d>
          <a:sp3d prstMaterial="dkEdge">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pivotFmt>
      <c:pivotFmt>
        <c:idx val="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pivotFmt>
      <c:pivotFmt>
        <c:idx val="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pivotFmt>
      <c:pivotFmt>
        <c:idx val="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pivotFmt>
    </c:pivotFmts>
    <c:view3D>
      <c:rotX val="30"/>
      <c:rotY val="3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507633251269942E-2"/>
          <c:y val="0.19178551973456148"/>
          <c:w val="0.8371018738936703"/>
          <c:h val="0.72085471668982559"/>
        </c:manualLayout>
      </c:layout>
      <c:pie3DChart>
        <c:varyColors val="1"/>
        <c:ser>
          <c:idx val="0"/>
          <c:order val="0"/>
          <c:tx>
            <c:v>Total</c:v>
          </c:tx>
          <c:spPr>
            <a:scene3d>
              <a:camera prst="orthographicFront"/>
              <a:lightRig rig="threePt" dir="t"/>
            </a:scene3d>
            <a:sp3d prstMaterial="dkEdge">
              <a:bevelT w="127000" h="127000"/>
              <a:bevelB w="127000" h="127000"/>
            </a:sp3d>
          </c:spPr>
          <c:explosion val="11"/>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extLst>
              <c:ext xmlns:c16="http://schemas.microsoft.com/office/drawing/2014/chart" uri="{C3380CC4-5D6E-409C-BE32-E72D297353CC}">
                <c16:uniqueId val="{00000001-1431-4FBB-B21B-AF7004A0075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extLst>
              <c:ext xmlns:c16="http://schemas.microsoft.com/office/drawing/2014/chart" uri="{C3380CC4-5D6E-409C-BE32-E72D297353CC}">
                <c16:uniqueId val="{00000002-1431-4FBB-B21B-AF7004A0075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extLst>
              <c:ext xmlns:c16="http://schemas.microsoft.com/office/drawing/2014/chart" uri="{C3380CC4-5D6E-409C-BE32-E72D297353CC}">
                <c16:uniqueId val="{00000003-1431-4FBB-B21B-AF7004A0075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extLst>
              <c:ext xmlns:c16="http://schemas.microsoft.com/office/drawing/2014/chart" uri="{C3380CC4-5D6E-409C-BE32-E72D297353CC}">
                <c16:uniqueId val="{00000004-1431-4FBB-B21B-AF7004A0075A}"/>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extLst>
              <c:ext xmlns:c16="http://schemas.microsoft.com/office/drawing/2014/chart" uri="{C3380CC4-5D6E-409C-BE32-E72D297353CC}">
                <c16:uniqueId val="{00000005-1431-4FBB-B21B-AF7004A0075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David</c:v>
              </c:pt>
              <c:pt idx="1">
                <c:v>Rana</c:v>
              </c:pt>
              <c:pt idx="2">
                <c:v>Sadia</c:v>
              </c:pt>
              <c:pt idx="3">
                <c:v>Shakib</c:v>
              </c:pt>
              <c:pt idx="4">
                <c:v>Shoel</c:v>
              </c:pt>
            </c:strLit>
          </c:cat>
          <c:val>
            <c:numLit>
              <c:formatCode>General</c:formatCode>
              <c:ptCount val="5"/>
              <c:pt idx="0">
                <c:v>85000</c:v>
              </c:pt>
              <c:pt idx="1">
                <c:v>12000</c:v>
              </c:pt>
              <c:pt idx="2">
                <c:v>20000</c:v>
              </c:pt>
              <c:pt idx="3">
                <c:v>20000</c:v>
              </c:pt>
              <c:pt idx="4">
                <c:v>45000</c:v>
              </c:pt>
            </c:numLit>
          </c:val>
          <c:extLst>
            <c:ext xmlns:c16="http://schemas.microsoft.com/office/drawing/2014/chart" uri="{C3380CC4-5D6E-409C-BE32-E72D297353CC}">
              <c16:uniqueId val="{00000000-1431-4FBB-B21B-AF7004A0075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v>Total</c:v>
          </c:tx>
          <c:explosion val="7"/>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AC0-4913-A881-C8EA9E5BC21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AC0-4913-A881-C8EA9E5BC2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2"/>
              <c:pt idx="0">
                <c:v>Delivery</c:v>
              </c:pt>
              <c:pt idx="1">
                <c:v>pending</c:v>
              </c:pt>
            </c:strLit>
          </c:cat>
          <c:val>
            <c:numLit>
              <c:formatCode>General</c:formatCode>
              <c:ptCount val="2"/>
              <c:pt idx="0">
                <c:v>4</c:v>
              </c:pt>
              <c:pt idx="1">
                <c:v>3</c:v>
              </c:pt>
            </c:numLit>
          </c:val>
          <c:extLst>
            <c:ext xmlns:c16="http://schemas.microsoft.com/office/drawing/2014/chart" uri="{C3380CC4-5D6E-409C-BE32-E72D297353CC}">
              <c16:uniqueId val="{00000004-FAC0-4913-A881-C8EA9E5BC213}"/>
            </c:ext>
          </c:extLst>
        </c:ser>
        <c:dLbls>
          <c:showLegendKey val="0"/>
          <c:showVal val="1"/>
          <c:showCatName val="0"/>
          <c:showSerName val="0"/>
          <c:showPercent val="0"/>
          <c:showBubbleSize val="0"/>
          <c:showLeaderLines val="1"/>
        </c:dLbls>
        <c:firstSliceAng val="24"/>
        <c:holeSize val="6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i="1">
                <a:latin typeface="Times New Roman" panose="02020603050405020304" pitchFamily="18" charset="0"/>
                <a:cs typeface="Times New Roman" panose="02020603050405020304" pitchFamily="18" charset="0"/>
              </a:rPr>
              <a:t>MONTHLY</a:t>
            </a:r>
            <a:r>
              <a:rPr lang="en-US" sz="1400" i="1" baseline="0">
                <a:latin typeface="Times New Roman" panose="02020603050405020304" pitchFamily="18" charset="0"/>
                <a:cs typeface="Times New Roman" panose="02020603050405020304" pitchFamily="18" charset="0"/>
              </a:rPr>
              <a:t> SALES</a:t>
            </a:r>
            <a:endParaRPr lang="en-US" sz="1400" i="1">
              <a:latin typeface="Times New Roman" panose="02020603050405020304" pitchFamily="18" charset="0"/>
              <a:cs typeface="Times New Roman" panose="02020603050405020304" pitchFamily="18" charset="0"/>
            </a:endParaRP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1" i="1"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s>
    <c:view3D>
      <c:rotX val="30"/>
      <c:rotY val="69"/>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explosion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91C-41DA-AB5F-5C0096B1BF99}"/>
              </c:ext>
            </c:extLst>
          </c:dPt>
          <c:dPt>
            <c:idx val="1"/>
            <c:bubble3D val="0"/>
            <c:explosion val="2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91C-41DA-AB5F-5C0096B1BF9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91C-41DA-AB5F-5C0096B1BF9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C91C-41DA-AB5F-5C0096B1BF99}"/>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C91C-41DA-AB5F-5C0096B1BF99}"/>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C91C-41DA-AB5F-5C0096B1BF99}"/>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C91C-41DA-AB5F-5C0096B1BF9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1-C91C-41DA-AB5F-5C0096B1BF9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3-C91C-41DA-AB5F-5C0096B1BF9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5-C91C-41DA-AB5F-5C0096B1BF9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7-C91C-41DA-AB5F-5C0096B1BF99}"/>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9-C91C-41DA-AB5F-5C0096B1BF99}"/>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B-C91C-41DA-AB5F-5C0096B1BF99}"/>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D-C91C-41DA-AB5F-5C0096B1BF9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strLit>
              <c:ptCount val="7"/>
              <c:pt idx="0">
                <c:v>January</c:v>
              </c:pt>
              <c:pt idx="1">
                <c:v>February</c:v>
              </c:pt>
              <c:pt idx="2">
                <c:v>March</c:v>
              </c:pt>
              <c:pt idx="3">
                <c:v>April</c:v>
              </c:pt>
              <c:pt idx="4">
                <c:v>June</c:v>
              </c:pt>
              <c:pt idx="5">
                <c:v>July</c:v>
              </c:pt>
              <c:pt idx="6">
                <c:v>August</c:v>
              </c:pt>
            </c:strLit>
          </c:cat>
          <c:val>
            <c:numLit>
              <c:formatCode>General</c:formatCode>
              <c:ptCount val="7"/>
              <c:pt idx="0">
                <c:v>30000</c:v>
              </c:pt>
              <c:pt idx="1">
                <c:v>40000</c:v>
              </c:pt>
              <c:pt idx="2">
                <c:v>32000</c:v>
              </c:pt>
              <c:pt idx="3">
                <c:v>50000</c:v>
              </c:pt>
              <c:pt idx="4">
                <c:v>25000</c:v>
              </c:pt>
              <c:pt idx="5">
                <c:v>15000</c:v>
              </c:pt>
              <c:pt idx="6">
                <c:v>45000</c:v>
              </c:pt>
            </c:numLit>
          </c:val>
          <c:extLst>
            <c:ext xmlns:c16="http://schemas.microsoft.com/office/drawing/2014/chart" uri="{C3380CC4-5D6E-409C-BE32-E72D297353CC}">
              <c16:uniqueId val="{0000000E-C91C-41DA-AB5F-5C0096B1BF99}"/>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a:scene3d>
      <a:camera prst="orthographicFront"/>
      <a:lightRig rig="threePt" dir="t"/>
    </a:scene3d>
    <a:sp3d>
      <a:bevelT prst="angle"/>
      <a:bevelB prst="relaxedInset"/>
    </a:sp3d>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i="1">
                <a:latin typeface="Times New Roman" panose="02020603050405020304" pitchFamily="18" charset="0"/>
                <a:cs typeface="Times New Roman" panose="02020603050405020304" pitchFamily="18" charset="0"/>
              </a:rPr>
              <a:t>CUSTOMER</a:t>
            </a:r>
            <a:r>
              <a:rPr lang="en-US" sz="1800" baseline="0">
                <a:latin typeface="Times New Roman" panose="02020603050405020304" pitchFamily="18" charset="0"/>
                <a:cs typeface="Times New Roman" panose="02020603050405020304" pitchFamily="18" charset="0"/>
              </a:rPr>
              <a:t> </a:t>
            </a:r>
            <a:r>
              <a:rPr lang="en-US" sz="1600" baseline="0">
                <a:latin typeface="Times New Roman" panose="02020603050405020304" pitchFamily="18" charset="0"/>
                <a:cs typeface="Times New Roman" panose="02020603050405020304" pitchFamily="18" charset="0"/>
              </a:rPr>
              <a:t>SALES</a:t>
            </a:r>
            <a:endParaRPr lang="en-US" sz="1800">
              <a:latin typeface="Times New Roman" panose="02020603050405020304" pitchFamily="18" charset="0"/>
              <a:cs typeface="Times New Roman" panose="02020603050405020304" pitchFamily="18" charset="0"/>
            </a:endParaRPr>
          </a:p>
        </c:rich>
      </c:tx>
      <c:overlay val="0"/>
      <c:spPr>
        <a:solidFill>
          <a:schemeClr val="bg1">
            <a:lumMod val="95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8.7029782434220521E-2"/>
          <c:y val="7.5096876935326892E-2"/>
          <c:w val="0.80271061705522107"/>
          <c:h val="0.7069921566748868"/>
        </c:manualLayout>
      </c:layout>
      <c:bar3DChart>
        <c:barDir val="col"/>
        <c:grouping val="standar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7"/>
              <c:pt idx="0">
                <c:v>Tasmova 4</c:v>
              </c:pt>
              <c:pt idx="1">
                <c:v>Tamim 7</c:v>
              </c:pt>
              <c:pt idx="2">
                <c:v>Sumon 5</c:v>
              </c:pt>
              <c:pt idx="3">
                <c:v>Sheol 6</c:v>
              </c:pt>
              <c:pt idx="4">
                <c:v>Shakib 1</c:v>
              </c:pt>
              <c:pt idx="5">
                <c:v>Rakib 2</c:v>
              </c:pt>
              <c:pt idx="6">
                <c:v>Arafat 3</c:v>
              </c:pt>
            </c:strLit>
          </c:cat>
          <c:val>
            <c:numLit>
              <c:formatCode>General</c:formatCode>
              <c:ptCount val="7"/>
              <c:pt idx="0">
                <c:v>61000</c:v>
              </c:pt>
              <c:pt idx="1">
                <c:v>58000</c:v>
              </c:pt>
              <c:pt idx="2">
                <c:v>31000</c:v>
              </c:pt>
              <c:pt idx="3">
                <c:v>22000</c:v>
              </c:pt>
              <c:pt idx="4">
                <c:v>42000</c:v>
              </c:pt>
              <c:pt idx="5">
                <c:v>48000</c:v>
              </c:pt>
              <c:pt idx="6">
                <c:v>47000</c:v>
              </c:pt>
            </c:numLit>
          </c:val>
          <c:extLst>
            <c:ext xmlns:c16="http://schemas.microsoft.com/office/drawing/2014/chart" uri="{C3380CC4-5D6E-409C-BE32-E72D297353CC}">
              <c16:uniqueId val="{00000000-2A87-4252-B05C-C2B003A238FF}"/>
            </c:ext>
          </c:extLst>
        </c:ser>
        <c:dLbls>
          <c:showLegendKey val="0"/>
          <c:showVal val="1"/>
          <c:showCatName val="0"/>
          <c:showSerName val="0"/>
          <c:showPercent val="0"/>
          <c:showBubbleSize val="0"/>
        </c:dLbls>
        <c:gapWidth val="65"/>
        <c:shape val="box"/>
        <c:axId val="19573871"/>
        <c:axId val="19591631"/>
        <c:axId val="156709615"/>
      </c:bar3DChart>
      <c:catAx>
        <c:axId val="195738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91631"/>
        <c:crosses val="autoZero"/>
        <c:auto val="1"/>
        <c:lblAlgn val="ctr"/>
        <c:lblOffset val="100"/>
        <c:noMultiLvlLbl val="0"/>
      </c:catAx>
      <c:valAx>
        <c:axId val="19591631"/>
        <c:scaling>
          <c:orientation val="minMax"/>
        </c:scaling>
        <c:delete val="1"/>
        <c:axPos val="l"/>
        <c:numFmt formatCode="General" sourceLinked="1"/>
        <c:majorTickMark val="none"/>
        <c:minorTickMark val="none"/>
        <c:tickLblPos val="nextTo"/>
        <c:crossAx val="19573871"/>
        <c:crosses val="autoZero"/>
        <c:crossBetween val="between"/>
      </c:valAx>
      <c:serAx>
        <c:axId val="1567096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59163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1400" i="1">
                <a:latin typeface="Times New Roman" panose="02020603050405020304" pitchFamily="18" charset="0"/>
                <a:cs typeface="Times New Roman" panose="02020603050405020304" pitchFamily="18" charset="0"/>
              </a:rPr>
              <a:t>DAY--</a:t>
            </a:r>
            <a:r>
              <a:rPr lang="en-US" sz="1400" i="1" baseline="0">
                <a:latin typeface="Times New Roman" panose="02020603050405020304" pitchFamily="18" charset="0"/>
                <a:cs typeface="Times New Roman" panose="02020603050405020304" pitchFamily="18" charset="0"/>
              </a:rPr>
              <a:t> SALES</a:t>
            </a:r>
            <a:endParaRPr lang="en-US" sz="1400" i="1">
              <a:latin typeface="Times New Roman" panose="02020603050405020304" pitchFamily="18" charset="0"/>
              <a:cs typeface="Times New Roman" panose="02020603050405020304" pitchFamily="18" charset="0"/>
            </a:endParaRPr>
          </a:p>
        </c:rich>
      </c:tx>
      <c:overlay val="0"/>
      <c:spPr>
        <a:solidFill>
          <a:schemeClr val="tx1"/>
        </a:solid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v>Series1</c:v>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15000</c:v>
              </c:pt>
              <c:pt idx="3">
                <c:v>0</c:v>
              </c:pt>
              <c:pt idx="4">
                <c:v>0</c:v>
              </c:pt>
              <c:pt idx="5">
                <c:v>0</c:v>
              </c:pt>
              <c:pt idx="6">
                <c:v>0</c:v>
              </c:pt>
            </c:numLit>
          </c:val>
          <c:extLst>
            <c:ext xmlns:c16="http://schemas.microsoft.com/office/drawing/2014/chart" uri="{C3380CC4-5D6E-409C-BE32-E72D297353CC}">
              <c16:uniqueId val="{00000000-00E1-41D5-B2FA-17CB408F74A6}"/>
            </c:ext>
          </c:extLst>
        </c:ser>
        <c:ser>
          <c:idx val="1"/>
          <c:order val="1"/>
          <c:tx>
            <c:v>Series2</c:v>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32000</c:v>
              </c:pt>
              <c:pt idx="3">
                <c:v>0</c:v>
              </c:pt>
              <c:pt idx="4">
                <c:v>0</c:v>
              </c:pt>
              <c:pt idx="5">
                <c:v>0</c:v>
              </c:pt>
              <c:pt idx="6">
                <c:v>0</c:v>
              </c:pt>
            </c:numLit>
          </c:val>
          <c:extLst>
            <c:ext xmlns:c16="http://schemas.microsoft.com/office/drawing/2014/chart" uri="{C3380CC4-5D6E-409C-BE32-E72D297353CC}">
              <c16:uniqueId val="{00000001-00E1-41D5-B2FA-17CB408F74A6}"/>
            </c:ext>
          </c:extLst>
        </c:ser>
        <c:ser>
          <c:idx val="2"/>
          <c:order val="2"/>
          <c:tx>
            <c:v>Series3</c:v>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12000</c:v>
              </c:pt>
              <c:pt idx="1">
                <c:v>0</c:v>
              </c:pt>
              <c:pt idx="2">
                <c:v>0</c:v>
              </c:pt>
              <c:pt idx="3">
                <c:v>0</c:v>
              </c:pt>
              <c:pt idx="4">
                <c:v>0</c:v>
              </c:pt>
              <c:pt idx="5">
                <c:v>0</c:v>
              </c:pt>
              <c:pt idx="6">
                <c:v>0</c:v>
              </c:pt>
            </c:numLit>
          </c:val>
          <c:extLst>
            <c:ext xmlns:c16="http://schemas.microsoft.com/office/drawing/2014/chart" uri="{C3380CC4-5D6E-409C-BE32-E72D297353CC}">
              <c16:uniqueId val="{00000001-1D60-4BC9-9CB2-A38DBE62E81F}"/>
            </c:ext>
          </c:extLst>
        </c:ser>
        <c:ser>
          <c:idx val="3"/>
          <c:order val="3"/>
          <c:tx>
            <c:v>Series4</c:v>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30000</c:v>
              </c:pt>
              <c:pt idx="1">
                <c:v>0</c:v>
              </c:pt>
              <c:pt idx="2">
                <c:v>0</c:v>
              </c:pt>
              <c:pt idx="3">
                <c:v>0</c:v>
              </c:pt>
              <c:pt idx="4">
                <c:v>0</c:v>
              </c:pt>
              <c:pt idx="5">
                <c:v>0</c:v>
              </c:pt>
              <c:pt idx="6">
                <c:v>0</c:v>
              </c:pt>
            </c:numLit>
          </c:val>
          <c:extLst>
            <c:ext xmlns:c16="http://schemas.microsoft.com/office/drawing/2014/chart" uri="{C3380CC4-5D6E-409C-BE32-E72D297353CC}">
              <c16:uniqueId val="{00000002-1D60-4BC9-9CB2-A38DBE62E81F}"/>
            </c:ext>
          </c:extLst>
        </c:ser>
        <c:ser>
          <c:idx val="4"/>
          <c:order val="4"/>
          <c:tx>
            <c:v>Series5</c:v>
          </c:tx>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8000</c:v>
              </c:pt>
              <c:pt idx="2">
                <c:v>0</c:v>
              </c:pt>
              <c:pt idx="3">
                <c:v>0</c:v>
              </c:pt>
              <c:pt idx="4">
                <c:v>0</c:v>
              </c:pt>
              <c:pt idx="5">
                <c:v>0</c:v>
              </c:pt>
              <c:pt idx="6">
                <c:v>0</c:v>
              </c:pt>
            </c:numLit>
          </c:val>
          <c:extLst>
            <c:ext xmlns:c16="http://schemas.microsoft.com/office/drawing/2014/chart" uri="{C3380CC4-5D6E-409C-BE32-E72D297353CC}">
              <c16:uniqueId val="{00000003-1D60-4BC9-9CB2-A38DBE62E81F}"/>
            </c:ext>
          </c:extLst>
        </c:ser>
        <c:ser>
          <c:idx val="5"/>
          <c:order val="5"/>
          <c:tx>
            <c:v>Series6</c:v>
          </c:tx>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40000</c:v>
              </c:pt>
              <c:pt idx="2">
                <c:v>0</c:v>
              </c:pt>
              <c:pt idx="3">
                <c:v>0</c:v>
              </c:pt>
              <c:pt idx="4">
                <c:v>0</c:v>
              </c:pt>
              <c:pt idx="5">
                <c:v>0</c:v>
              </c:pt>
              <c:pt idx="6">
                <c:v>0</c:v>
              </c:pt>
            </c:numLit>
          </c:val>
          <c:extLst>
            <c:ext xmlns:c16="http://schemas.microsoft.com/office/drawing/2014/chart" uri="{C3380CC4-5D6E-409C-BE32-E72D297353CC}">
              <c16:uniqueId val="{00000004-1D60-4BC9-9CB2-A38DBE62E81F}"/>
            </c:ext>
          </c:extLst>
        </c:ser>
        <c:ser>
          <c:idx val="6"/>
          <c:order val="6"/>
          <c:tx>
            <c:v>Series7</c:v>
          </c:tx>
          <c:spPr>
            <a:gradFill>
              <a:gsLst>
                <a:gs pos="100000">
                  <a:schemeClr val="accent1">
                    <a:lumMod val="60000"/>
                  </a:schemeClr>
                </a:gs>
                <a:gs pos="0">
                  <a:schemeClr val="accent1">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11000</c:v>
              </c:pt>
              <c:pt idx="4">
                <c:v>0</c:v>
              </c:pt>
              <c:pt idx="5">
                <c:v>0</c:v>
              </c:pt>
              <c:pt idx="6">
                <c:v>0</c:v>
              </c:pt>
            </c:numLit>
          </c:val>
          <c:extLst>
            <c:ext xmlns:c16="http://schemas.microsoft.com/office/drawing/2014/chart" uri="{C3380CC4-5D6E-409C-BE32-E72D297353CC}">
              <c16:uniqueId val="{00000005-1D60-4BC9-9CB2-A38DBE62E81F}"/>
            </c:ext>
          </c:extLst>
        </c:ser>
        <c:ser>
          <c:idx val="7"/>
          <c:order val="7"/>
          <c:tx>
            <c:v>Series8</c:v>
          </c:tx>
          <c:spPr>
            <a:gradFill>
              <a:gsLst>
                <a:gs pos="100000">
                  <a:schemeClr val="accent2">
                    <a:lumMod val="60000"/>
                  </a:schemeClr>
                </a:gs>
                <a:gs pos="0">
                  <a:schemeClr val="accent2">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50000</c:v>
              </c:pt>
              <c:pt idx="4">
                <c:v>0</c:v>
              </c:pt>
              <c:pt idx="5">
                <c:v>0</c:v>
              </c:pt>
              <c:pt idx="6">
                <c:v>0</c:v>
              </c:pt>
            </c:numLit>
          </c:val>
          <c:extLst>
            <c:ext xmlns:c16="http://schemas.microsoft.com/office/drawing/2014/chart" uri="{C3380CC4-5D6E-409C-BE32-E72D297353CC}">
              <c16:uniqueId val="{00000006-1D60-4BC9-9CB2-A38DBE62E81F}"/>
            </c:ext>
          </c:extLst>
        </c:ser>
        <c:ser>
          <c:idx val="8"/>
          <c:order val="8"/>
          <c:tx>
            <c:v>Series9</c:v>
          </c:tx>
          <c:spPr>
            <a:gradFill>
              <a:gsLst>
                <a:gs pos="100000">
                  <a:schemeClr val="accent3">
                    <a:lumMod val="60000"/>
                  </a:schemeClr>
                </a:gs>
                <a:gs pos="0">
                  <a:schemeClr val="accent3">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0</c:v>
              </c:pt>
              <c:pt idx="5">
                <c:v>7000</c:v>
              </c:pt>
              <c:pt idx="6">
                <c:v>0</c:v>
              </c:pt>
            </c:numLit>
          </c:val>
          <c:extLst>
            <c:ext xmlns:c16="http://schemas.microsoft.com/office/drawing/2014/chart" uri="{C3380CC4-5D6E-409C-BE32-E72D297353CC}">
              <c16:uniqueId val="{00000007-1D60-4BC9-9CB2-A38DBE62E81F}"/>
            </c:ext>
          </c:extLst>
        </c:ser>
        <c:ser>
          <c:idx val="9"/>
          <c:order val="9"/>
          <c:tx>
            <c:v>Series10</c:v>
          </c:tx>
          <c:spPr>
            <a:gradFill>
              <a:gsLst>
                <a:gs pos="100000">
                  <a:schemeClr val="accent4">
                    <a:lumMod val="60000"/>
                  </a:schemeClr>
                </a:gs>
                <a:gs pos="0">
                  <a:schemeClr val="accent4">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0</c:v>
              </c:pt>
              <c:pt idx="5">
                <c:v>15000</c:v>
              </c:pt>
              <c:pt idx="6">
                <c:v>0</c:v>
              </c:pt>
            </c:numLit>
          </c:val>
          <c:extLst>
            <c:ext xmlns:c16="http://schemas.microsoft.com/office/drawing/2014/chart" uri="{C3380CC4-5D6E-409C-BE32-E72D297353CC}">
              <c16:uniqueId val="{00000008-1D60-4BC9-9CB2-A38DBE62E81F}"/>
            </c:ext>
          </c:extLst>
        </c:ser>
        <c:ser>
          <c:idx val="10"/>
          <c:order val="10"/>
          <c:tx>
            <c:v>Series11</c:v>
          </c:tx>
          <c:spPr>
            <a:gradFill>
              <a:gsLst>
                <a:gs pos="100000">
                  <a:schemeClr val="accent5">
                    <a:lumMod val="60000"/>
                  </a:schemeClr>
                </a:gs>
                <a:gs pos="0">
                  <a:schemeClr val="accent5">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6000</c:v>
              </c:pt>
              <c:pt idx="5">
                <c:v>0</c:v>
              </c:pt>
              <c:pt idx="6">
                <c:v>0</c:v>
              </c:pt>
            </c:numLit>
          </c:val>
          <c:extLst>
            <c:ext xmlns:c16="http://schemas.microsoft.com/office/drawing/2014/chart" uri="{C3380CC4-5D6E-409C-BE32-E72D297353CC}">
              <c16:uniqueId val="{00000009-1D60-4BC9-9CB2-A38DBE62E81F}"/>
            </c:ext>
          </c:extLst>
        </c:ser>
        <c:ser>
          <c:idx val="11"/>
          <c:order val="11"/>
          <c:tx>
            <c:v>Series12</c:v>
          </c:tx>
          <c:spPr>
            <a:gradFill>
              <a:gsLst>
                <a:gs pos="100000">
                  <a:schemeClr val="accent6">
                    <a:lumMod val="60000"/>
                  </a:schemeClr>
                </a:gs>
                <a:gs pos="0">
                  <a:schemeClr val="accent6">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25000</c:v>
              </c:pt>
              <c:pt idx="5">
                <c:v>0</c:v>
              </c:pt>
              <c:pt idx="6">
                <c:v>0</c:v>
              </c:pt>
            </c:numLit>
          </c:val>
          <c:extLst>
            <c:ext xmlns:c16="http://schemas.microsoft.com/office/drawing/2014/chart" uri="{C3380CC4-5D6E-409C-BE32-E72D297353CC}">
              <c16:uniqueId val="{0000000A-1D60-4BC9-9CB2-A38DBE62E81F}"/>
            </c:ext>
          </c:extLst>
        </c:ser>
        <c:ser>
          <c:idx val="12"/>
          <c:order val="12"/>
          <c:tx>
            <c:v>Series13</c:v>
          </c:tx>
          <c:spPr>
            <a:gradFill>
              <a:gsLst>
                <a:gs pos="100000">
                  <a:schemeClr val="accent1">
                    <a:lumMod val="80000"/>
                    <a:lumOff val="20000"/>
                  </a:schemeClr>
                </a:gs>
                <a:gs pos="0">
                  <a:schemeClr val="accent1">
                    <a:lumMod val="80000"/>
                    <a:lumOff val="2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0</c:v>
              </c:pt>
              <c:pt idx="5">
                <c:v>0</c:v>
              </c:pt>
              <c:pt idx="6">
                <c:v>13000</c:v>
              </c:pt>
            </c:numLit>
          </c:val>
          <c:extLst>
            <c:ext xmlns:c16="http://schemas.microsoft.com/office/drawing/2014/chart" uri="{C3380CC4-5D6E-409C-BE32-E72D297353CC}">
              <c16:uniqueId val="{0000000B-1D60-4BC9-9CB2-A38DBE62E81F}"/>
            </c:ext>
          </c:extLst>
        </c:ser>
        <c:ser>
          <c:idx val="13"/>
          <c:order val="13"/>
          <c:tx>
            <c:v>Series14</c:v>
          </c:tx>
          <c:spPr>
            <a:gradFill>
              <a:gsLst>
                <a:gs pos="100000">
                  <a:schemeClr val="accent2">
                    <a:lumMod val="80000"/>
                    <a:lumOff val="20000"/>
                  </a:schemeClr>
                </a:gs>
                <a:gs pos="0">
                  <a:schemeClr val="accent2">
                    <a:lumMod val="80000"/>
                    <a:lumOff val="2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0</c:v>
              </c:pt>
              <c:pt idx="5">
                <c:v>0</c:v>
              </c:pt>
              <c:pt idx="6">
                <c:v>45000</c:v>
              </c:pt>
            </c:numLit>
          </c:val>
          <c:extLst>
            <c:ext xmlns:c16="http://schemas.microsoft.com/office/drawing/2014/chart" uri="{C3380CC4-5D6E-409C-BE32-E72D297353CC}">
              <c16:uniqueId val="{0000000C-1D60-4BC9-9CB2-A38DBE62E81F}"/>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9554191"/>
        <c:axId val="19563791"/>
      </c:areaChart>
      <c:catAx>
        <c:axId val="19554191"/>
        <c:scaling>
          <c:orientation val="minMax"/>
        </c:scaling>
        <c:delete val="1"/>
        <c:axPos val="b"/>
        <c:numFmt formatCode="General" sourceLinked="1"/>
        <c:majorTickMark val="none"/>
        <c:minorTickMark val="none"/>
        <c:tickLblPos val="nextTo"/>
        <c:crossAx val="19563791"/>
        <c:crosses val="autoZero"/>
        <c:auto val="1"/>
        <c:lblAlgn val="ctr"/>
        <c:lblOffset val="100"/>
        <c:noMultiLvlLbl val="0"/>
      </c:catAx>
      <c:valAx>
        <c:axId val="19563791"/>
        <c:scaling>
          <c:orientation val="minMax"/>
        </c:scaling>
        <c:delete val="1"/>
        <c:axPos val="l"/>
        <c:numFmt formatCode="General" sourceLinked="1"/>
        <c:majorTickMark val="out"/>
        <c:minorTickMark val="none"/>
        <c:tickLblPos val="nextTo"/>
        <c:crossAx val="19554191"/>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Top-5</a:t>
            </a:r>
            <a:r>
              <a:rPr lang="en-US" baseline="0"/>
              <a:t> customers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tx1"/>
        </a:solidFill>
        <a:ln>
          <a:noFill/>
        </a:ln>
        <a:effectLst/>
        <a:sp3d/>
      </c:spPr>
    </c:sideWall>
    <c:backWall>
      <c:thickness val="0"/>
      <c:spPr>
        <a:solidFill>
          <a:schemeClr val="tx1"/>
        </a:solidFill>
        <a:ln>
          <a:noFill/>
        </a:ln>
        <a:effectLst/>
        <a:sp3d/>
      </c:spPr>
    </c:backWall>
    <c:plotArea>
      <c:layout/>
      <c:bar3DChart>
        <c:barDir val="col"/>
        <c:grouping val="stacked"/>
        <c:varyColors val="0"/>
        <c:ser>
          <c:idx val="0"/>
          <c:order val="0"/>
          <c:tx>
            <c:v>Total</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Rahim Uddin</c:v>
              </c:pt>
              <c:pt idx="1">
                <c:v>Arafat Hossen</c:v>
              </c:pt>
              <c:pt idx="2">
                <c:v>Sara Khan</c:v>
              </c:pt>
              <c:pt idx="3">
                <c:v>Chen Wei</c:v>
              </c:pt>
              <c:pt idx="4">
                <c:v>Ahmed Hassan</c:v>
              </c:pt>
            </c:strLit>
          </c:cat>
          <c:val>
            <c:numLit>
              <c:formatCode>General</c:formatCode>
              <c:ptCount val="5"/>
              <c:pt idx="0">
                <c:v>90000</c:v>
              </c:pt>
              <c:pt idx="1">
                <c:v>85000</c:v>
              </c:pt>
              <c:pt idx="2">
                <c:v>30000</c:v>
              </c:pt>
              <c:pt idx="3">
                <c:v>22000</c:v>
              </c:pt>
              <c:pt idx="4">
                <c:v>18000</c:v>
              </c:pt>
            </c:numLit>
          </c:val>
          <c:extLst>
            <c:ext xmlns:c16="http://schemas.microsoft.com/office/drawing/2014/chart" uri="{C3380CC4-5D6E-409C-BE32-E72D297353CC}">
              <c16:uniqueId val="{00000000-41C7-487F-9D9F-978FBF4CC706}"/>
            </c:ext>
          </c:extLst>
        </c:ser>
        <c:dLbls>
          <c:showLegendKey val="0"/>
          <c:showVal val="1"/>
          <c:showCatName val="0"/>
          <c:showSerName val="0"/>
          <c:showPercent val="0"/>
          <c:showBubbleSize val="0"/>
        </c:dLbls>
        <c:gapWidth val="79"/>
        <c:shape val="box"/>
        <c:axId val="1698712687"/>
        <c:axId val="1698703567"/>
        <c:axId val="0"/>
      </c:bar3DChart>
      <c:catAx>
        <c:axId val="169871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98703567"/>
        <c:crosses val="autoZero"/>
        <c:auto val="1"/>
        <c:lblAlgn val="ctr"/>
        <c:lblOffset val="100"/>
        <c:noMultiLvlLbl val="0"/>
      </c:catAx>
      <c:valAx>
        <c:axId val="1698703567"/>
        <c:scaling>
          <c:orientation val="minMax"/>
        </c:scaling>
        <c:delete val="1"/>
        <c:axPos val="l"/>
        <c:numFmt formatCode="General" sourceLinked="1"/>
        <c:majorTickMark val="none"/>
        <c:minorTickMark val="none"/>
        <c:tickLblPos val="nextTo"/>
        <c:crossAx val="169871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Highest-saleing_5</a:t>
            </a:r>
            <a:r>
              <a:rPr lang="en-US" baseline="0"/>
              <a:t> products</a:t>
            </a:r>
            <a:endParaRPr lang="en-US"/>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explosion val="1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059A-4D77-9E9E-D1E9E0137B0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059A-4D77-9E9E-D1E9E0137B0C}"/>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059A-4D77-9E9E-D1E9E0137B0C}"/>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059A-4D77-9E9E-D1E9E0137B0C}"/>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059A-4D77-9E9E-D1E9E0137B0C}"/>
              </c:ext>
            </c:extLst>
          </c:dPt>
          <c:dLbls>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USB Cable</c:v>
              </c:pt>
              <c:pt idx="1">
                <c:v>Headphones</c:v>
              </c:pt>
              <c:pt idx="2">
                <c:v>Power Bank</c:v>
              </c:pt>
              <c:pt idx="3">
                <c:v>Mouse</c:v>
              </c:pt>
              <c:pt idx="4">
                <c:v>Smartphone</c:v>
              </c:pt>
            </c:strLit>
          </c:cat>
          <c:val>
            <c:numLit>
              <c:formatCode>General</c:formatCode>
              <c:ptCount val="5"/>
              <c:pt idx="0">
                <c:v>5</c:v>
              </c:pt>
              <c:pt idx="1">
                <c:v>3</c:v>
              </c:pt>
              <c:pt idx="2">
                <c:v>3</c:v>
              </c:pt>
              <c:pt idx="3">
                <c:v>2</c:v>
              </c:pt>
              <c:pt idx="4">
                <c:v>2</c:v>
              </c:pt>
            </c:numLit>
          </c:val>
          <c:extLst>
            <c:ext xmlns:c16="http://schemas.microsoft.com/office/drawing/2014/chart" uri="{C3380CC4-5D6E-409C-BE32-E72D297353CC}">
              <c16:uniqueId val="{0000000F-059A-4D77-9E9E-D1E9E0137B0C}"/>
            </c:ext>
          </c:extLst>
        </c:ser>
        <c:dLbls>
          <c:dLblPos val="outEnd"/>
          <c:showLegendKey val="0"/>
          <c:showVal val="0"/>
          <c:showCatName val="1"/>
          <c:showSerName val="0"/>
          <c:showPercent val="0"/>
          <c:showBubbleSize val="0"/>
          <c:showLeaderLines val="1"/>
        </c:dLbls>
      </c:pie3DChart>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category-wise</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s>
    <c:plotArea>
      <c:layout/>
      <c:doughnutChart>
        <c:varyColors val="1"/>
        <c:ser>
          <c:idx val="0"/>
          <c:order val="0"/>
          <c:tx>
            <c:v>Total</c:v>
          </c:tx>
          <c:explosion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D8C-4D52-AF18-B9A9399580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D8C-4D52-AF18-B9A93995809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D8C-4D52-AF18-B9A9399580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Accessories</c:v>
              </c:pt>
              <c:pt idx="1">
                <c:v>Electronics</c:v>
              </c:pt>
              <c:pt idx="2">
                <c:v>Furniture</c:v>
              </c:pt>
            </c:strLit>
          </c:cat>
          <c:val>
            <c:numLit>
              <c:formatCode>General</c:formatCode>
              <c:ptCount val="3"/>
              <c:pt idx="0">
                <c:v>17900</c:v>
              </c:pt>
              <c:pt idx="1">
                <c:v>224000</c:v>
              </c:pt>
              <c:pt idx="2">
                <c:v>30000</c:v>
              </c:pt>
            </c:numLit>
          </c:val>
          <c:extLst>
            <c:ext xmlns:c16="http://schemas.microsoft.com/office/drawing/2014/chart" uri="{C3380CC4-5D6E-409C-BE32-E72D297353CC}">
              <c16:uniqueId val="{00000006-3D8C-4D52-AF18-B9A93995809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country-wise</a:t>
            </a:r>
            <a:r>
              <a:rPr lang="en-US" baseline="0"/>
              <a:t> revenue</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2328188976378"/>
          <c:y val="8.9713660164338752E-2"/>
          <c:w val="0.73203384776902891"/>
          <c:h val="0.86003508355425418"/>
        </c:manualLayout>
      </c:layout>
      <c:barChart>
        <c:barDir val="bar"/>
        <c:grouping val="stack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9"/>
              <c:pt idx="0">
                <c:v>Bangladesh</c:v>
              </c:pt>
              <c:pt idx="1">
                <c:v>Pakistan</c:v>
              </c:pt>
              <c:pt idx="2">
                <c:v>China</c:v>
              </c:pt>
              <c:pt idx="3">
                <c:v>UAE</c:v>
              </c:pt>
              <c:pt idx="4">
                <c:v>India</c:v>
              </c:pt>
              <c:pt idx="5">
                <c:v>Spain</c:v>
              </c:pt>
              <c:pt idx="6">
                <c:v>Canada</c:v>
              </c:pt>
              <c:pt idx="7">
                <c:v>USA</c:v>
              </c:pt>
              <c:pt idx="8">
                <c:v>UK</c:v>
              </c:pt>
            </c:strLit>
          </c:cat>
          <c:val>
            <c:numLit>
              <c:formatCode>General</c:formatCode>
              <c:ptCount val="9"/>
              <c:pt idx="0">
                <c:v>175000</c:v>
              </c:pt>
              <c:pt idx="1">
                <c:v>30000</c:v>
              </c:pt>
              <c:pt idx="2">
                <c:v>22000</c:v>
              </c:pt>
              <c:pt idx="3">
                <c:v>18000</c:v>
              </c:pt>
              <c:pt idx="4">
                <c:v>10500</c:v>
              </c:pt>
              <c:pt idx="5">
                <c:v>9000</c:v>
              </c:pt>
              <c:pt idx="6">
                <c:v>2500</c:v>
              </c:pt>
              <c:pt idx="7">
                <c:v>2500</c:v>
              </c:pt>
              <c:pt idx="8">
                <c:v>2400</c:v>
              </c:pt>
            </c:numLit>
          </c:val>
          <c:extLst>
            <c:ext xmlns:c16="http://schemas.microsoft.com/office/drawing/2014/chart" uri="{C3380CC4-5D6E-409C-BE32-E72D297353CC}">
              <c16:uniqueId val="{00000000-04F7-4912-B2C3-940EFA1288AF}"/>
            </c:ext>
          </c:extLst>
        </c:ser>
        <c:dLbls>
          <c:dLblPos val="ctr"/>
          <c:showLegendKey val="0"/>
          <c:showVal val="1"/>
          <c:showCatName val="0"/>
          <c:showSerName val="0"/>
          <c:showPercent val="0"/>
          <c:showBubbleSize val="0"/>
        </c:dLbls>
        <c:gapWidth val="79"/>
        <c:overlap val="100"/>
        <c:axId val="1698713647"/>
        <c:axId val="1698714127"/>
      </c:barChart>
      <c:catAx>
        <c:axId val="1698713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98714127"/>
        <c:crosses val="autoZero"/>
        <c:auto val="1"/>
        <c:lblAlgn val="ctr"/>
        <c:lblOffset val="100"/>
        <c:noMultiLvlLbl val="0"/>
      </c:catAx>
      <c:valAx>
        <c:axId val="1698714127"/>
        <c:scaling>
          <c:orientation val="minMax"/>
        </c:scaling>
        <c:delete val="1"/>
        <c:axPos val="b"/>
        <c:numFmt formatCode="General" sourceLinked="1"/>
        <c:majorTickMark val="none"/>
        <c:minorTickMark val="none"/>
        <c:tickLblPos val="nextTo"/>
        <c:crossAx val="169871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1363940347171713E-2"/>
          <c:w val="0.95634920634920639"/>
          <c:h val="0.73634550993800985"/>
        </c:manualLayout>
      </c:layout>
      <c:lineChart>
        <c:grouping val="standard"/>
        <c:varyColors val="0"/>
        <c:ser>
          <c:idx val="0"/>
          <c:order val="0"/>
          <c:tx>
            <c:v>Total</c:v>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10"/>
              <c:pt idx="0">
                <c:v>1/20/2025</c:v>
              </c:pt>
              <c:pt idx="1">
                <c:v>1/18/2025</c:v>
              </c:pt>
              <c:pt idx="2">
                <c:v>1/28/2025</c:v>
              </c:pt>
              <c:pt idx="3">
                <c:v>1/30/2025</c:v>
              </c:pt>
              <c:pt idx="4">
                <c:v>1/15/2025</c:v>
              </c:pt>
              <c:pt idx="5">
                <c:v>1/25/2025</c:v>
              </c:pt>
              <c:pt idx="6">
                <c:v>1/22/2025</c:v>
              </c:pt>
              <c:pt idx="7">
                <c:v>1/26/2025</c:v>
              </c:pt>
              <c:pt idx="8">
                <c:v>1/5/2025</c:v>
              </c:pt>
              <c:pt idx="9">
                <c:v>1/10/2025</c:v>
              </c:pt>
            </c:strLit>
          </c:cat>
          <c:val>
            <c:numLit>
              <c:formatCode>General</c:formatCode>
              <c:ptCount val="10"/>
              <c:pt idx="0">
                <c:v>2400</c:v>
              </c:pt>
              <c:pt idx="1">
                <c:v>2500</c:v>
              </c:pt>
              <c:pt idx="2">
                <c:v>2500</c:v>
              </c:pt>
              <c:pt idx="3">
                <c:v>9000</c:v>
              </c:pt>
              <c:pt idx="4">
                <c:v>10500</c:v>
              </c:pt>
              <c:pt idx="5">
                <c:v>18000</c:v>
              </c:pt>
              <c:pt idx="6">
                <c:v>22000</c:v>
              </c:pt>
              <c:pt idx="7">
                <c:v>30000</c:v>
              </c:pt>
              <c:pt idx="8">
                <c:v>85000</c:v>
              </c:pt>
              <c:pt idx="9">
                <c:v>90000</c:v>
              </c:pt>
            </c:numLit>
          </c:val>
          <c:smooth val="0"/>
          <c:extLst>
            <c:ext xmlns:c16="http://schemas.microsoft.com/office/drawing/2014/chart" uri="{C3380CC4-5D6E-409C-BE32-E72D297353CC}">
              <c16:uniqueId val="{00000000-5766-4C2E-9F98-C452BEC5605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33425695"/>
        <c:axId val="2033426175"/>
      </c:lineChart>
      <c:catAx>
        <c:axId val="20334256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033426175"/>
        <c:crosses val="autoZero"/>
        <c:auto val="1"/>
        <c:lblAlgn val="ctr"/>
        <c:lblOffset val="100"/>
        <c:noMultiLvlLbl val="0"/>
      </c:catAx>
      <c:valAx>
        <c:axId val="2033426175"/>
        <c:scaling>
          <c:orientation val="minMax"/>
        </c:scaling>
        <c:delete val="1"/>
        <c:axPos val="l"/>
        <c:numFmt formatCode="General" sourceLinked="1"/>
        <c:majorTickMark val="out"/>
        <c:minorTickMark val="none"/>
        <c:tickLblPos val="nextTo"/>
        <c:crossAx val="2033425695"/>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Finance</c:v>
              </c:pt>
              <c:pt idx="1">
                <c:v>HR</c:v>
              </c:pt>
              <c:pt idx="2">
                <c:v>IT</c:v>
              </c:pt>
              <c:pt idx="3">
                <c:v>Marketing</c:v>
              </c:pt>
              <c:pt idx="4">
                <c:v>Sales</c:v>
              </c:pt>
            </c:strLit>
          </c:cat>
          <c:val>
            <c:numLit>
              <c:formatCode>General</c:formatCode>
              <c:ptCount val="5"/>
              <c:pt idx="0">
                <c:v>97000</c:v>
              </c:pt>
              <c:pt idx="1">
                <c:v>69000</c:v>
              </c:pt>
              <c:pt idx="2">
                <c:v>98000</c:v>
              </c:pt>
              <c:pt idx="3">
                <c:v>78000</c:v>
              </c:pt>
              <c:pt idx="4">
                <c:v>73000</c:v>
              </c:pt>
            </c:numLit>
          </c:val>
          <c:extLst>
            <c:ext xmlns:c16="http://schemas.microsoft.com/office/drawing/2014/chart" uri="{C3380CC4-5D6E-409C-BE32-E72D297353CC}">
              <c16:uniqueId val="{00000000-191F-411E-9C91-F4D9456C4126}"/>
            </c:ext>
          </c:extLst>
        </c:ser>
        <c:dLbls>
          <c:dLblPos val="inEnd"/>
          <c:showLegendKey val="0"/>
          <c:showVal val="1"/>
          <c:showCatName val="0"/>
          <c:showSerName val="0"/>
          <c:showPercent val="0"/>
          <c:showBubbleSize val="0"/>
        </c:dLbls>
        <c:gapWidth val="65"/>
        <c:axId val="1124848352"/>
        <c:axId val="1124858432"/>
      </c:barChart>
      <c:catAx>
        <c:axId val="112484835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4858432"/>
        <c:crosses val="autoZero"/>
        <c:auto val="1"/>
        <c:lblAlgn val="ctr"/>
        <c:lblOffset val="100"/>
        <c:noMultiLvlLbl val="0"/>
      </c:catAx>
      <c:valAx>
        <c:axId val="1124858432"/>
        <c:scaling>
          <c:orientation val="minMax"/>
        </c:scaling>
        <c:delete val="1"/>
        <c:axPos val="l"/>
        <c:numFmt formatCode="General" sourceLinked="1"/>
        <c:majorTickMark val="out"/>
        <c:minorTickMark val="none"/>
        <c:tickLblPos val="nextTo"/>
        <c:crossAx val="1124848352"/>
        <c:crosses val="autoZero"/>
        <c:crossBetween val="between"/>
      </c:valAx>
      <c:spPr>
        <a:noFill/>
        <a:ln>
          <a:noFill/>
        </a:ln>
        <a:effectLst>
          <a:innerShdw blurRad="63500" dist="50800" dir="10800000">
            <a:prstClr val="black">
              <a:alpha val="50000"/>
            </a:prst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B29-4DF2-B7F6-FCD8A55BE09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B29-4DF2-B7F6-FCD8A55BE09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B29-4DF2-B7F6-FCD8A55BE09F}"/>
              </c:ext>
            </c:extLst>
          </c:dPt>
          <c:dPt>
            <c:idx val="3"/>
            <c:bubble3D val="0"/>
            <c:explosion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B29-4DF2-B7F6-FCD8A55BE09F}"/>
              </c:ext>
            </c:extLst>
          </c:dPt>
          <c:dPt>
            <c:idx val="4"/>
            <c:bubble3D val="0"/>
            <c:explosion val="1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2B29-4DF2-B7F6-FCD8A55BE09F}"/>
              </c:ext>
            </c:extLst>
          </c:dPt>
          <c:dPt>
            <c:idx val="5"/>
            <c:bubble3D val="0"/>
            <c:explosion val="9"/>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2B29-4DF2-B7F6-FCD8A55BE09F}"/>
              </c:ext>
            </c:extLst>
          </c:dPt>
          <c:dPt>
            <c:idx val="6"/>
            <c:bubble3D val="0"/>
            <c:explosion val="2"/>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2B29-4DF2-B7F6-FCD8A55BE09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2B29-4DF2-B7F6-FCD8A55BE09F}"/>
              </c:ext>
            </c:extLst>
          </c:dPt>
          <c:dLbls>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2B29-4DF2-B7F6-FCD8A55BE09F}"/>
                </c:ext>
              </c:extLst>
            </c:dLbl>
            <c:dLbl>
              <c:idx val="1"/>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2B29-4DF2-B7F6-FCD8A55BE09F}"/>
                </c:ext>
              </c:extLst>
            </c:dLbl>
            <c:dLbl>
              <c:idx val="2"/>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2B29-4DF2-B7F6-FCD8A55BE09F}"/>
                </c:ext>
              </c:extLst>
            </c:dLbl>
            <c:dLbl>
              <c:idx val="3"/>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2B29-4DF2-B7F6-FCD8A55BE09F}"/>
                </c:ext>
              </c:extLst>
            </c:dLbl>
            <c:dLbl>
              <c:idx val="4"/>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2B29-4DF2-B7F6-FCD8A55BE09F}"/>
                </c:ext>
              </c:extLst>
            </c:dLbl>
            <c:dLbl>
              <c:idx val="5"/>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2B29-4DF2-B7F6-FCD8A55BE09F}"/>
                </c:ext>
              </c:extLst>
            </c:dLbl>
            <c:dLbl>
              <c:idx val="6"/>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D-2B29-4DF2-B7F6-FCD8A55BE09F}"/>
                </c:ext>
              </c:extLst>
            </c:dLbl>
            <c:dLbl>
              <c:idx val="7"/>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F-2B29-4DF2-B7F6-FCD8A55BE09F}"/>
                </c:ext>
              </c:extLst>
            </c:dLbl>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8"/>
              <c:pt idx="0">
                <c:v>Absent Finance</c:v>
              </c:pt>
              <c:pt idx="1">
                <c:v>Absent Marketing</c:v>
              </c:pt>
              <c:pt idx="2">
                <c:v>Absent Sales</c:v>
              </c:pt>
              <c:pt idx="3">
                <c:v>Present Finance</c:v>
              </c:pt>
              <c:pt idx="4">
                <c:v>Present HR</c:v>
              </c:pt>
              <c:pt idx="5">
                <c:v>Present IT</c:v>
              </c:pt>
              <c:pt idx="6">
                <c:v>Present Marketing</c:v>
              </c:pt>
              <c:pt idx="7">
                <c:v>Present Sales</c:v>
              </c:pt>
            </c:strLit>
          </c:cat>
          <c:val>
            <c:numLit>
              <c:formatCode>General</c:formatCode>
              <c:ptCount val="8"/>
              <c:pt idx="0">
                <c:v>42000</c:v>
              </c:pt>
              <c:pt idx="1">
                <c:v>40000</c:v>
              </c:pt>
              <c:pt idx="2">
                <c:v>36000</c:v>
              </c:pt>
              <c:pt idx="3">
                <c:v>55000</c:v>
              </c:pt>
              <c:pt idx="4">
                <c:v>69000</c:v>
              </c:pt>
              <c:pt idx="5">
                <c:v>98000</c:v>
              </c:pt>
              <c:pt idx="6">
                <c:v>38000</c:v>
              </c:pt>
              <c:pt idx="7">
                <c:v>37000</c:v>
              </c:pt>
            </c:numLit>
          </c:val>
          <c:extLst>
            <c:ext xmlns:c16="http://schemas.microsoft.com/office/drawing/2014/chart" uri="{C3380CC4-5D6E-409C-BE32-E72D297353CC}">
              <c16:uniqueId val="{00000010-2B29-4DF2-B7F6-FCD8A55BE09F}"/>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60000"/>
          <a:lumOff val="4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tx1">
                <a:lumMod val="75000"/>
                <a:lumOff val="25000"/>
              </a:schemeClr>
            </a:solidFill>
            <a:round/>
          </a:ln>
          <a:effectLst>
            <a:outerShdw dist="25400" dir="2700000" algn="tl" rotWithShape="0">
              <a:schemeClr val="accent1"/>
            </a:outerShdw>
          </a:effectLst>
        </c:spPr>
        <c:marker>
          <c:symbol val="diamond"/>
          <c:size val="5"/>
          <c:spPr>
            <a:solidFill>
              <a:schemeClr val="tx1"/>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tx1">
                  <a:lumMod val="75000"/>
                  <a:lumOff val="25000"/>
                </a:schemeClr>
              </a:solidFill>
              <a:round/>
            </a:ln>
            <a:effectLst>
              <a:outerShdw dist="25400" dir="2700000" algn="tl" rotWithShape="0">
                <a:schemeClr val="accent1"/>
              </a:outerShdw>
            </a:effectLst>
          </c:spPr>
          <c:marker>
            <c:symbol val="diamond"/>
            <c:size val="5"/>
            <c:spPr>
              <a:solidFill>
                <a:schemeClr val="tx1"/>
              </a:solidFill>
              <a:ln w="22225">
                <a:no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10"/>
              <c:pt idx="0">
                <c:v>Jan</c:v>
              </c:pt>
              <c:pt idx="1">
                <c:v>Feb</c:v>
              </c:pt>
              <c:pt idx="2">
                <c:v>Mar</c:v>
              </c:pt>
              <c:pt idx="3">
                <c:v>Apr</c:v>
              </c:pt>
              <c:pt idx="4">
                <c:v>Jun</c:v>
              </c:pt>
              <c:pt idx="5">
                <c:v>Jul</c:v>
              </c:pt>
              <c:pt idx="6">
                <c:v>Aug</c:v>
              </c:pt>
              <c:pt idx="7">
                <c:v>Sep</c:v>
              </c:pt>
              <c:pt idx="8">
                <c:v>Nov</c:v>
              </c:pt>
              <c:pt idx="9">
                <c:v>Dec</c:v>
              </c:pt>
            </c:strLit>
          </c:cat>
          <c:val>
            <c:numLit>
              <c:formatCode>General</c:formatCode>
              <c:ptCount val="10"/>
              <c:pt idx="0">
                <c:v>50000</c:v>
              </c:pt>
              <c:pt idx="1">
                <c:v>34000</c:v>
              </c:pt>
              <c:pt idx="2">
                <c:v>35000</c:v>
              </c:pt>
              <c:pt idx="3">
                <c:v>37000</c:v>
              </c:pt>
              <c:pt idx="4">
                <c:v>48000</c:v>
              </c:pt>
              <c:pt idx="5">
                <c:v>42000</c:v>
              </c:pt>
              <c:pt idx="6">
                <c:v>55000</c:v>
              </c:pt>
              <c:pt idx="7">
                <c:v>36000</c:v>
              </c:pt>
              <c:pt idx="8">
                <c:v>38000</c:v>
              </c:pt>
              <c:pt idx="9">
                <c:v>40000</c:v>
              </c:pt>
            </c:numLit>
          </c:val>
          <c:smooth val="0"/>
          <c:extLst>
            <c:ext xmlns:c16="http://schemas.microsoft.com/office/drawing/2014/chart" uri="{C3380CC4-5D6E-409C-BE32-E72D297353CC}">
              <c16:uniqueId val="{00000000-AAD8-45CC-AE1D-36E1F38196D3}"/>
            </c:ext>
          </c:extLst>
        </c:ser>
        <c:dLbls>
          <c:dLblPos val="t"/>
          <c:showLegendKey val="0"/>
          <c:showVal val="1"/>
          <c:showCatName val="0"/>
          <c:showSerName val="0"/>
          <c:showPercent val="0"/>
          <c:showBubbleSize val="0"/>
        </c:dLbls>
        <c:dropLines>
          <c:spPr>
            <a:ln w="9525" cap="flat" cmpd="sng" algn="ctr">
              <a:solidFill>
                <a:schemeClr val="tx1"/>
              </a:solidFill>
              <a:round/>
            </a:ln>
            <a:effectLst/>
          </c:spPr>
        </c:dropLines>
        <c:marker val="1"/>
        <c:smooth val="0"/>
        <c:axId val="1124864192"/>
        <c:axId val="1124885792"/>
      </c:lineChart>
      <c:catAx>
        <c:axId val="1124864192"/>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24885792"/>
        <c:crosses val="autoZero"/>
        <c:auto val="1"/>
        <c:lblAlgn val="ctr"/>
        <c:lblOffset val="100"/>
        <c:noMultiLvlLbl val="0"/>
      </c:catAx>
      <c:valAx>
        <c:axId val="1124885792"/>
        <c:scaling>
          <c:orientation val="minMax"/>
        </c:scaling>
        <c:delete val="1"/>
        <c:axPos val="l"/>
        <c:numFmt formatCode="General" sourceLinked="1"/>
        <c:majorTickMark val="out"/>
        <c:minorTickMark val="none"/>
        <c:tickLblPos val="nextTo"/>
        <c:crossAx val="112486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lt1">
                <a:alpha val="50000"/>
              </a:schemeClr>
            </a:solidFill>
            <a:round/>
          </a:ln>
          <a:effectLst/>
        </c:spPr>
        <c:marker>
          <c:symbol val="none"/>
        </c:marker>
        <c:dLbl>
          <c:idx val="0"/>
          <c:spPr>
            <a:blipFill>
              <a:blip xmlns:r="http://schemas.openxmlformats.org/officeDocument/2006/relationships" r:embed="rId3"/>
              <a:tile tx="0" ty="0" sx="100000" sy="100000" flip="none" algn="tl"/>
            </a:blipFill>
            <a:ln>
              <a:gradFill>
                <a:gsLst>
                  <a:gs pos="0">
                    <a:schemeClr val="tx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Bonus</c:v>
          </c:tx>
          <c:spPr>
            <a:solidFill>
              <a:schemeClr val="accent4">
                <a:shade val="76000"/>
                <a:alpha val="85000"/>
              </a:schemeClr>
            </a:solidFill>
            <a:ln w="9525" cap="flat" cmpd="sng" algn="ctr">
              <a:solidFill>
                <a:schemeClr val="lt1">
                  <a:alpha val="50000"/>
                </a:schemeClr>
              </a:solidFill>
              <a:round/>
            </a:ln>
            <a:effectLst/>
          </c:spPr>
          <c:invertIfNegative val="0"/>
          <c:dLbls>
            <c:spPr>
              <a:blipFill>
                <a:blip xmlns:r="http://schemas.openxmlformats.org/officeDocument/2006/relationships" r:embed="rId3"/>
                <a:tile tx="0" ty="0" sx="100000" sy="100000" flip="none" algn="tl"/>
              </a:blipFill>
              <a:ln>
                <a:gradFill>
                  <a:gsLst>
                    <a:gs pos="0">
                      <a:schemeClr val="tx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0"/>
              <c:pt idx="0">
                <c:v>Arif Chowdhury</c:v>
              </c:pt>
              <c:pt idx="1">
                <c:v>Ayesha Khan</c:v>
              </c:pt>
              <c:pt idx="2">
                <c:v>Farhana Akter</c:v>
              </c:pt>
              <c:pt idx="3">
                <c:v>Karim Ahmed</c:v>
              </c:pt>
              <c:pt idx="4">
                <c:v>Mahmudul Islam</c:v>
              </c:pt>
              <c:pt idx="5">
                <c:v>Nusrat Jahan</c:v>
              </c:pt>
              <c:pt idx="6">
                <c:v>Rahim Uddin</c:v>
              </c:pt>
              <c:pt idx="7">
                <c:v>Sabbir Hossain</c:v>
              </c:pt>
              <c:pt idx="8">
                <c:v>Shila Rahman</c:v>
              </c:pt>
              <c:pt idx="9">
                <c:v>Tanvir Hasan</c:v>
              </c:pt>
            </c:strLit>
          </c:cat>
          <c:val>
            <c:numLit>
              <c:formatCode>General</c:formatCode>
              <c:ptCount val="10"/>
              <c:pt idx="0">
                <c:v>0</c:v>
              </c:pt>
              <c:pt idx="1">
                <c:v>50000</c:v>
              </c:pt>
              <c:pt idx="2">
                <c:v>0</c:v>
              </c:pt>
              <c:pt idx="3">
                <c:v>42000</c:v>
              </c:pt>
              <c:pt idx="4">
                <c:v>55000</c:v>
              </c:pt>
              <c:pt idx="5">
                <c:v>48000</c:v>
              </c:pt>
              <c:pt idx="6">
                <c:v>0</c:v>
              </c:pt>
              <c:pt idx="7">
                <c:v>0</c:v>
              </c:pt>
              <c:pt idx="8">
                <c:v>40000</c:v>
              </c:pt>
              <c:pt idx="9">
                <c:v>0</c:v>
              </c:pt>
            </c:numLit>
          </c:val>
          <c:extLst>
            <c:ext xmlns:c16="http://schemas.microsoft.com/office/drawing/2014/chart" uri="{C3380CC4-5D6E-409C-BE32-E72D297353CC}">
              <c16:uniqueId val="{00000000-B033-4468-B051-E4EF51714B2B}"/>
            </c:ext>
          </c:extLst>
        </c:ser>
        <c:ser>
          <c:idx val="1"/>
          <c:order val="1"/>
          <c:tx>
            <c:v>NO Bonus</c:v>
          </c:tx>
          <c:spPr>
            <a:solidFill>
              <a:schemeClr val="accent4">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0"/>
              <c:pt idx="0">
                <c:v>Arif Chowdhury</c:v>
              </c:pt>
              <c:pt idx="1">
                <c:v>Ayesha Khan</c:v>
              </c:pt>
              <c:pt idx="2">
                <c:v>Farhana Akter</c:v>
              </c:pt>
              <c:pt idx="3">
                <c:v>Karim Ahmed</c:v>
              </c:pt>
              <c:pt idx="4">
                <c:v>Mahmudul Islam</c:v>
              </c:pt>
              <c:pt idx="5">
                <c:v>Nusrat Jahan</c:v>
              </c:pt>
              <c:pt idx="6">
                <c:v>Rahim Uddin</c:v>
              </c:pt>
              <c:pt idx="7">
                <c:v>Sabbir Hossain</c:v>
              </c:pt>
              <c:pt idx="8">
                <c:v>Shila Rahman</c:v>
              </c:pt>
              <c:pt idx="9">
                <c:v>Tanvir Hasan</c:v>
              </c:pt>
            </c:strLit>
          </c:cat>
          <c:val>
            <c:numLit>
              <c:formatCode>General</c:formatCode>
              <c:ptCount val="10"/>
              <c:pt idx="0">
                <c:v>37000</c:v>
              </c:pt>
              <c:pt idx="1">
                <c:v>0</c:v>
              </c:pt>
              <c:pt idx="2">
                <c:v>34000</c:v>
              </c:pt>
              <c:pt idx="3">
                <c:v>0</c:v>
              </c:pt>
              <c:pt idx="4">
                <c:v>0</c:v>
              </c:pt>
              <c:pt idx="5">
                <c:v>0</c:v>
              </c:pt>
              <c:pt idx="6">
                <c:v>35000</c:v>
              </c:pt>
              <c:pt idx="7">
                <c:v>36000</c:v>
              </c:pt>
              <c:pt idx="8">
                <c:v>0</c:v>
              </c:pt>
              <c:pt idx="9">
                <c:v>38000</c:v>
              </c:pt>
            </c:numLit>
          </c:val>
          <c:extLst>
            <c:ext xmlns:c16="http://schemas.microsoft.com/office/drawing/2014/chart" uri="{C3380CC4-5D6E-409C-BE32-E72D297353CC}">
              <c16:uniqueId val="{00000001-D818-472F-8EFB-94C1B4E33FD6}"/>
            </c:ext>
          </c:extLst>
        </c:ser>
        <c:dLbls>
          <c:dLblPos val="inEnd"/>
          <c:showLegendKey val="0"/>
          <c:showVal val="1"/>
          <c:showCatName val="0"/>
          <c:showSerName val="0"/>
          <c:showPercent val="0"/>
          <c:showBubbleSize val="0"/>
        </c:dLbls>
        <c:gapWidth val="65"/>
        <c:axId val="1124870912"/>
        <c:axId val="1124863232"/>
      </c:barChart>
      <c:catAx>
        <c:axId val="1124870912"/>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4863232"/>
        <c:crosses val="autoZero"/>
        <c:auto val="1"/>
        <c:lblAlgn val="ctr"/>
        <c:lblOffset val="100"/>
        <c:noMultiLvlLbl val="0"/>
      </c:catAx>
      <c:valAx>
        <c:axId val="11248632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487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solidFill>
            <a:round/>
          </a:ln>
          <a:effectLst/>
        </c:spPr>
        <c:marker>
          <c:symbol val="none"/>
        </c:marker>
        <c:dLbl>
          <c:idx val="0"/>
          <c:numFmt formatCode="_(&quot;$&quot;* #,##0_);_(&quot;$&quot;* \(#,##0\);_(&quot;$&quot;* &quot;-&quot;_);_(@_)" sourceLinked="0"/>
          <c:spPr>
            <a:solidFill>
              <a:schemeClr val="accent2"/>
            </a:solidFill>
            <a:ln>
              <a:noFill/>
            </a:ln>
            <a:effectLst>
              <a:outerShdw blurRad="50800" dist="38100" dir="2700000" algn="tl" rotWithShape="0">
                <a:schemeClr val="accent1">
                  <a:alpha val="4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2.2644871004027723E-2"/>
          <c:y val="0.1504996571998421"/>
          <c:w val="0.95355467663316285"/>
          <c:h val="0.65514470321816631"/>
        </c:manualLayout>
      </c:layout>
      <c:lineChart>
        <c:grouping val="standard"/>
        <c:varyColors val="0"/>
        <c:ser>
          <c:idx val="0"/>
          <c:order val="0"/>
          <c:tx>
            <c:v>Total</c:v>
          </c:tx>
          <c:spPr>
            <a:ln w="28575" cap="rnd">
              <a:solidFill>
                <a:schemeClr val="tx1"/>
              </a:solidFill>
              <a:round/>
            </a:ln>
            <a:effectLst/>
          </c:spPr>
          <c:marker>
            <c:symbol val="none"/>
          </c:marker>
          <c:dLbls>
            <c:numFmt formatCode="_(&quot;$&quot;* #,##0_);_(&quot;$&quot;* \(#,##0\);_(&quot;$&quot;* &quot;-&quot;_);_(@_)" sourceLinked="0"/>
            <c:spPr>
              <a:solidFill>
                <a:schemeClr val="accent2"/>
              </a:solidFill>
              <a:ln>
                <a:noFill/>
              </a:ln>
              <a:effectLst>
                <a:outerShdw blurRad="50800" dist="38100" dir="2700000" algn="tl" rotWithShape="0">
                  <a:schemeClr val="accent1">
                    <a:alpha val="4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1/2/2025</c:v>
              </c:pt>
              <c:pt idx="1">
                <c:v>1/3/2025</c:v>
              </c:pt>
              <c:pt idx="2">
                <c:v>1/4/2025</c:v>
              </c:pt>
              <c:pt idx="3">
                <c:v>1/5/2025</c:v>
              </c:pt>
              <c:pt idx="4">
                <c:v>1/6/2025</c:v>
              </c:pt>
              <c:pt idx="5">
                <c:v>1/7/2025</c:v>
              </c:pt>
              <c:pt idx="6">
                <c:v>1/8/2025</c:v>
              </c:pt>
              <c:pt idx="7">
                <c:v>1/9/2025</c:v>
              </c:pt>
              <c:pt idx="8">
                <c:v>1/10/2025</c:v>
              </c:pt>
              <c:pt idx="9">
                <c:v>1/11/2025</c:v>
              </c:pt>
              <c:pt idx="10">
                <c:v>1/12/2025</c:v>
              </c:pt>
              <c:pt idx="11">
                <c:v>1/13/2025</c:v>
              </c:pt>
              <c:pt idx="12">
                <c:v>1/14/2025</c:v>
              </c:pt>
              <c:pt idx="13">
                <c:v>1/15/2025</c:v>
              </c:pt>
              <c:pt idx="14">
                <c:v>1/16/2025</c:v>
              </c:pt>
              <c:pt idx="15">
                <c:v>1/17/2025</c:v>
              </c:pt>
              <c:pt idx="16">
                <c:v>1/18/2025</c:v>
              </c:pt>
              <c:pt idx="17">
                <c:v>1/19/2025</c:v>
              </c:pt>
              <c:pt idx="18">
                <c:v>1/20/2025</c:v>
              </c:pt>
              <c:pt idx="19">
                <c:v>1/21/2025</c:v>
              </c:pt>
            </c:strLit>
          </c:cat>
          <c:val>
            <c:numLit>
              <c:formatCode>General</c:formatCode>
              <c:ptCount val="20"/>
              <c:pt idx="0">
                <c:v>15000</c:v>
              </c:pt>
              <c:pt idx="1">
                <c:v>22000</c:v>
              </c:pt>
              <c:pt idx="2">
                <c:v>18000</c:v>
              </c:pt>
              <c:pt idx="3">
                <c:v>9500</c:v>
              </c:pt>
              <c:pt idx="4">
                <c:v>30500</c:v>
              </c:pt>
              <c:pt idx="5">
                <c:v>12000</c:v>
              </c:pt>
              <c:pt idx="6">
                <c:v>45000</c:v>
              </c:pt>
              <c:pt idx="7">
                <c:v>8700</c:v>
              </c:pt>
              <c:pt idx="8">
                <c:v>26000</c:v>
              </c:pt>
              <c:pt idx="9">
                <c:v>33000</c:v>
              </c:pt>
              <c:pt idx="10">
                <c:v>14000</c:v>
              </c:pt>
              <c:pt idx="11">
                <c:v>5000</c:v>
              </c:pt>
              <c:pt idx="12">
                <c:v>29000</c:v>
              </c:pt>
              <c:pt idx="13">
                <c:v>17500</c:v>
              </c:pt>
              <c:pt idx="14">
                <c:v>41000</c:v>
              </c:pt>
              <c:pt idx="15">
                <c:v>9800</c:v>
              </c:pt>
              <c:pt idx="16">
                <c:v>21500</c:v>
              </c:pt>
              <c:pt idx="17">
                <c:v>36000</c:v>
              </c:pt>
              <c:pt idx="18">
                <c:v>12500</c:v>
              </c:pt>
              <c:pt idx="19">
                <c:v>48000</c:v>
              </c:pt>
            </c:numLit>
          </c:val>
          <c:smooth val="0"/>
          <c:extLst>
            <c:ext xmlns:c16="http://schemas.microsoft.com/office/drawing/2014/chart" uri="{C3380CC4-5D6E-409C-BE32-E72D297353CC}">
              <c16:uniqueId val="{00000000-0A01-4907-8D17-8CAE0156FA03}"/>
            </c:ext>
          </c:extLst>
        </c:ser>
        <c:dLbls>
          <c:dLblPos val="t"/>
          <c:showLegendKey val="0"/>
          <c:showVal val="1"/>
          <c:showCatName val="0"/>
          <c:showSerName val="0"/>
          <c:showPercent val="0"/>
          <c:showBubbleSize val="0"/>
        </c:dLbls>
        <c:smooth val="0"/>
        <c:axId val="813349584"/>
        <c:axId val="813335184"/>
      </c:lineChart>
      <c:catAx>
        <c:axId val="81334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335184"/>
        <c:crosses val="autoZero"/>
        <c:auto val="1"/>
        <c:lblAlgn val="ctr"/>
        <c:lblOffset val="100"/>
        <c:noMultiLvlLbl val="0"/>
      </c:catAx>
      <c:valAx>
        <c:axId val="813335184"/>
        <c:scaling>
          <c:orientation val="minMax"/>
        </c:scaling>
        <c:delete val="1"/>
        <c:axPos val="l"/>
        <c:numFmt formatCode="General" sourceLinked="1"/>
        <c:majorTickMark val="out"/>
        <c:minorTickMark val="none"/>
        <c:tickLblPos val="nextTo"/>
        <c:crossAx val="81334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solidFill>
      <a:round/>
    </a:ln>
    <a:effectLst>
      <a:outerShdw blurRad="50800" dist="50800" dir="5400000" algn="ctr" rotWithShape="0">
        <a:schemeClr val="accent1">
          <a:lumMod val="20000"/>
          <a:lumOff val="80000"/>
        </a:schemeClr>
      </a:outerShdw>
    </a:effectLst>
  </c:spPr>
  <c:txPr>
    <a:bodyPr/>
    <a:lstStyle/>
    <a:p>
      <a:pPr>
        <a:defRPr/>
      </a:pPr>
      <a:endParaRPr lang="en-US"/>
    </a:p>
  </c:txPr>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w="19050">
            <a:noFill/>
          </a:ln>
          <a:effectLst>
            <a:outerShdw blurRad="50800" dist="50800" dir="5400000" algn="ctr" rotWithShape="0">
              <a:schemeClr val="tx2">
                <a:lumMod val="40000"/>
                <a:lumOff val="60000"/>
              </a:schemeClr>
            </a:outerShdw>
          </a:effectLst>
        </c:spPr>
        <c:dLbl>
          <c:idx val="0"/>
          <c:layout>
            <c:manualLayout>
              <c:x val="7.0083223828296098E-2"/>
              <c:y val="0"/>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8.9356110381077533E-2"/>
              <c:y val="-6.0958010133163058E-1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pivotFmt>
    </c:pivotFmts>
    <c:plotArea>
      <c:layout/>
      <c:doughnutChart>
        <c:varyColors val="1"/>
        <c:ser>
          <c:idx val="0"/>
          <c:order val="0"/>
          <c:tx>
            <c:v>Series1</c:v>
          </c:tx>
          <c:spPr>
            <a:ln>
              <a:noFill/>
            </a:ln>
          </c:spPr>
          <c:dPt>
            <c:idx val="0"/>
            <c:bubble3D val="0"/>
            <c:spPr>
              <a:solidFill>
                <a:schemeClr val="tx1"/>
              </a:solidFill>
              <a:ln w="19050">
                <a:noFill/>
              </a:ln>
              <a:effectLst>
                <a:outerShdw blurRad="50800" dist="50800" dir="5400000" algn="ctr" rotWithShape="0">
                  <a:schemeClr val="tx2">
                    <a:lumMod val="40000"/>
                    <a:lumOff val="60000"/>
                  </a:schemeClr>
                </a:outerShdw>
              </a:effectLst>
            </c:spPr>
            <c:extLst>
              <c:ext xmlns:c16="http://schemas.microsoft.com/office/drawing/2014/chart" uri="{C3380CC4-5D6E-409C-BE32-E72D297353CC}">
                <c16:uniqueId val="{00000001-F584-4143-AC06-AB4CC45A1221}"/>
              </c:ext>
            </c:extLst>
          </c:dPt>
          <c:dPt>
            <c:idx val="1"/>
            <c:bubble3D val="0"/>
            <c:spPr>
              <a:solidFill>
                <a:schemeClr val="accent2"/>
              </a:solidFill>
              <a:ln w="19050">
                <a:noFill/>
              </a:ln>
              <a:effectLst/>
            </c:spPr>
            <c:extLst>
              <c:ext xmlns:c16="http://schemas.microsoft.com/office/drawing/2014/chart" uri="{C3380CC4-5D6E-409C-BE32-E72D297353CC}">
                <c16:uniqueId val="{00000003-F584-4143-AC06-AB4CC45A1221}"/>
              </c:ext>
            </c:extLst>
          </c:dPt>
          <c:dPt>
            <c:idx val="2"/>
            <c:bubble3D val="0"/>
            <c:spPr>
              <a:solidFill>
                <a:schemeClr val="accent3"/>
              </a:solidFill>
              <a:ln w="19050">
                <a:noFill/>
              </a:ln>
              <a:effectLst/>
            </c:spPr>
            <c:extLst>
              <c:ext xmlns:c16="http://schemas.microsoft.com/office/drawing/2014/chart" uri="{C3380CC4-5D6E-409C-BE32-E72D297353CC}">
                <c16:uniqueId val="{00000005-F584-4143-AC06-AB4CC45A1221}"/>
              </c:ext>
            </c:extLst>
          </c:dPt>
          <c:dLbls>
            <c:dLbl>
              <c:idx val="0"/>
              <c:layout>
                <c:manualLayout>
                  <c:x val="7.0083223828296098E-2"/>
                  <c:y val="0"/>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84-4143-AC06-AB4CC45A1221}"/>
                </c:ext>
              </c:extLst>
            </c:dLbl>
            <c:dLbl>
              <c:idx val="1"/>
              <c:layout>
                <c:manualLayout>
                  <c:x val="-8.9356110381077533E-2"/>
                  <c:y val="-6.0958010133163058E-1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84-4143-AC06-AB4CC45A1221}"/>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DEPOSIT</c:v>
              </c:pt>
              <c:pt idx="1">
                <c:v>WITHDRAW</c:v>
              </c:pt>
              <c:pt idx="2">
                <c:v>(blank)</c:v>
              </c:pt>
            </c:strLit>
          </c:cat>
          <c:val>
            <c:numLit>
              <c:formatCode>General</c:formatCode>
              <c:ptCount val="3"/>
              <c:pt idx="0">
                <c:v>252500</c:v>
              </c:pt>
              <c:pt idx="1">
                <c:v>201500</c:v>
              </c:pt>
              <c:pt idx="2">
                <c:v>0</c:v>
              </c:pt>
            </c:numLit>
          </c:val>
          <c:extLst>
            <c:ext xmlns:c16="http://schemas.microsoft.com/office/drawing/2014/chart" uri="{C3380CC4-5D6E-409C-BE32-E72D297353CC}">
              <c16:uniqueId val="{00000006-F584-4143-AC06-AB4CC45A122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outerShdw blurRad="50800" dist="38100" dir="5400000" algn="t"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Series1</c:v>
          </c:tx>
          <c:spPr>
            <a:solidFill>
              <a:schemeClr val="tx1"/>
            </a:solidFill>
            <a:ln>
              <a:noFill/>
            </a:ln>
            <a:effectLst>
              <a:outerShdw blurRad="50800" dist="38100" dir="5400000" algn="t"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Lit>
          </c:cat>
          <c:val>
            <c:numLit>
              <c:formatCode>General</c:formatCode>
              <c:ptCount val="20"/>
              <c:pt idx="0">
                <c:v>5000</c:v>
              </c:pt>
              <c:pt idx="1">
                <c:v>3000</c:v>
              </c:pt>
              <c:pt idx="2">
                <c:v>7000</c:v>
              </c:pt>
              <c:pt idx="3">
                <c:v>2000</c:v>
              </c:pt>
              <c:pt idx="4">
                <c:v>10000</c:v>
              </c:pt>
              <c:pt idx="5">
                <c:v>1500</c:v>
              </c:pt>
              <c:pt idx="6">
                <c:v>12000</c:v>
              </c:pt>
              <c:pt idx="7">
                <c:v>2500</c:v>
              </c:pt>
              <c:pt idx="8">
                <c:v>8000</c:v>
              </c:pt>
              <c:pt idx="9">
                <c:v>4000</c:v>
              </c:pt>
              <c:pt idx="10">
                <c:v>6000</c:v>
              </c:pt>
              <c:pt idx="11">
                <c:v>1000</c:v>
              </c:pt>
              <c:pt idx="12">
                <c:v>9000</c:v>
              </c:pt>
              <c:pt idx="13">
                <c:v>3500</c:v>
              </c:pt>
              <c:pt idx="14">
                <c:v>11000</c:v>
              </c:pt>
              <c:pt idx="15">
                <c:v>1800</c:v>
              </c:pt>
              <c:pt idx="16">
                <c:v>7500</c:v>
              </c:pt>
              <c:pt idx="17">
                <c:v>4200</c:v>
              </c:pt>
              <c:pt idx="18">
                <c:v>6500</c:v>
              </c:pt>
              <c:pt idx="19">
                <c:v>5000</c:v>
              </c:pt>
            </c:numLit>
          </c:val>
          <c:extLst>
            <c:ext xmlns:c16="http://schemas.microsoft.com/office/drawing/2014/chart" uri="{C3380CC4-5D6E-409C-BE32-E72D297353CC}">
              <c16:uniqueId val="{00000000-2E8E-46DC-909E-31C6AA12FC66}"/>
            </c:ext>
          </c:extLst>
        </c:ser>
        <c:dLbls>
          <c:showLegendKey val="0"/>
          <c:showVal val="1"/>
          <c:showCatName val="0"/>
          <c:showSerName val="0"/>
          <c:showPercent val="0"/>
          <c:showBubbleSize val="0"/>
        </c:dLbls>
        <c:gapWidth val="150"/>
        <c:shape val="box"/>
        <c:axId val="813365904"/>
        <c:axId val="813374544"/>
        <c:axId val="0"/>
      </c:bar3DChart>
      <c:catAx>
        <c:axId val="8133659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374544"/>
        <c:crosses val="autoZero"/>
        <c:auto val="1"/>
        <c:lblAlgn val="ctr"/>
        <c:lblOffset val="100"/>
        <c:noMultiLvlLbl val="0"/>
      </c:catAx>
      <c:valAx>
        <c:axId val="813374544"/>
        <c:scaling>
          <c:orientation val="minMax"/>
        </c:scaling>
        <c:delete val="1"/>
        <c:axPos val="l"/>
        <c:numFmt formatCode="General" sourceLinked="1"/>
        <c:majorTickMark val="out"/>
        <c:minorTickMark val="none"/>
        <c:tickLblPos val="nextTo"/>
        <c:crossAx val="81336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glow rad="127000">
        <a:schemeClr val="bg2"/>
      </a:glow>
    </a:effectLst>
  </c:spPr>
  <c:txPr>
    <a:bodyPr/>
    <a:lstStyle/>
    <a:p>
      <a:pPr>
        <a:defRPr/>
      </a:pPr>
      <a:endParaRPr lang="en-US"/>
    </a:p>
  </c:txPr>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Analysis.xlsx]Sheet11!PivotTable1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80927384076995E-2"/>
          <c:y val="0.26791447944006996"/>
          <c:w val="0.77378937007874016"/>
          <c:h val="0.53774387576552929"/>
        </c:manualLayout>
      </c:layout>
      <c:barChart>
        <c:barDir val="col"/>
        <c:grouping val="clustered"/>
        <c:varyColors val="0"/>
        <c:ser>
          <c:idx val="0"/>
          <c:order val="0"/>
          <c:tx>
            <c:strRef>
              <c:f>Sheet11!$N$4</c:f>
              <c:strCache>
                <c:ptCount val="1"/>
                <c:pt idx="0">
                  <c:v>Total</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Sheet11!$M$5:$M$9</c:f>
              <c:strCache>
                <c:ptCount val="4"/>
                <c:pt idx="0">
                  <c:v>Fahim</c:v>
                </c:pt>
                <c:pt idx="1">
                  <c:v>Sabbir</c:v>
                </c:pt>
                <c:pt idx="2">
                  <c:v>Siam</c:v>
                </c:pt>
                <c:pt idx="3">
                  <c:v>(blank)</c:v>
                </c:pt>
              </c:strCache>
            </c:strRef>
          </c:cat>
          <c:val>
            <c:numRef>
              <c:f>Sheet11!$N$5:$N$9</c:f>
              <c:numCache>
                <c:formatCode>General</c:formatCode>
                <c:ptCount val="4"/>
                <c:pt idx="0">
                  <c:v>272</c:v>
                </c:pt>
                <c:pt idx="1">
                  <c:v>277</c:v>
                </c:pt>
                <c:pt idx="2">
                  <c:v>276</c:v>
                </c:pt>
              </c:numCache>
            </c:numRef>
          </c:val>
          <c:extLst>
            <c:ext xmlns:c16="http://schemas.microsoft.com/office/drawing/2014/chart" uri="{C3380CC4-5D6E-409C-BE32-E72D297353CC}">
              <c16:uniqueId val="{00000000-E142-4ACC-AB19-A4F60896E1C6}"/>
            </c:ext>
          </c:extLst>
        </c:ser>
        <c:dLbls>
          <c:showLegendKey val="0"/>
          <c:showVal val="0"/>
          <c:showCatName val="0"/>
          <c:showSerName val="0"/>
          <c:showPercent val="0"/>
          <c:showBubbleSize val="0"/>
        </c:dLbls>
        <c:gapWidth val="219"/>
        <c:overlap val="-27"/>
        <c:axId val="1940644319"/>
        <c:axId val="1940641919"/>
      </c:barChart>
      <c:catAx>
        <c:axId val="1940644319"/>
        <c:scaling>
          <c:orientation val="minMax"/>
        </c:scaling>
        <c:delete val="1"/>
        <c:axPos val="b"/>
        <c:numFmt formatCode="General" sourceLinked="1"/>
        <c:majorTickMark val="none"/>
        <c:minorTickMark val="none"/>
        <c:tickLblPos val="nextTo"/>
        <c:crossAx val="1940641919"/>
        <c:crosses val="autoZero"/>
        <c:auto val="1"/>
        <c:lblAlgn val="ctr"/>
        <c:lblOffset val="100"/>
        <c:noMultiLvlLbl val="0"/>
      </c:catAx>
      <c:valAx>
        <c:axId val="1940641919"/>
        <c:scaling>
          <c:orientation val="minMax"/>
        </c:scaling>
        <c:delete val="1"/>
        <c:axPos val="l"/>
        <c:numFmt formatCode="General" sourceLinked="1"/>
        <c:majorTickMark val="none"/>
        <c:minorTickMark val="none"/>
        <c:tickLblPos val="nextTo"/>
        <c:crossAx val="194064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Analysis.xlsx]Sheet11!PivotTable5</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1"/>
            </a:solidFill>
            <a:round/>
          </a:ln>
          <a:effectLst/>
        </c:spPr>
        <c:marker>
          <c:symbol val="circle"/>
          <c:size val="5"/>
          <c:spPr>
            <a:solidFill>
              <a:schemeClr val="tx1"/>
            </a:solidFill>
            <a:ln w="9525">
              <a:solidFill>
                <a:schemeClr val="accent2"/>
              </a:solidFill>
            </a:ln>
            <a:effectLst/>
          </c:spPr>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Sheet11!$M$22</c:f>
              <c:strCache>
                <c:ptCount val="1"/>
                <c:pt idx="0">
                  <c:v>Sum of total_marks</c:v>
                </c:pt>
              </c:strCache>
            </c:strRef>
          </c:tx>
          <c:spPr>
            <a:ln w="28575" cap="rnd">
              <a:solidFill>
                <a:schemeClr val="tx1"/>
              </a:solidFill>
              <a:round/>
            </a:ln>
            <a:effectLst/>
          </c:spPr>
          <c:marker>
            <c:symbol val="circle"/>
            <c:size val="5"/>
            <c:spPr>
              <a:solidFill>
                <a:schemeClr val="tx1"/>
              </a:solidFill>
              <a:ln w="9525">
                <a:solidFill>
                  <a:schemeClr val="accent2"/>
                </a:solidFill>
              </a:ln>
              <a:effectLst/>
            </c:spPr>
          </c:marker>
          <c:dLbls>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Sheet11!$L$23:$L$40</c:f>
              <c:strCache>
                <c:ptCount val="17"/>
                <c:pt idx="0">
                  <c:v>Arif</c:v>
                </c:pt>
                <c:pt idx="1">
                  <c:v>Fahim</c:v>
                </c:pt>
                <c:pt idx="2">
                  <c:v>Foysal</c:v>
                </c:pt>
                <c:pt idx="3">
                  <c:v>Hasan</c:v>
                </c:pt>
                <c:pt idx="4">
                  <c:v>Imran</c:v>
                </c:pt>
                <c:pt idx="5">
                  <c:v>Mahmud</c:v>
                </c:pt>
                <c:pt idx="6">
                  <c:v>Nahid</c:v>
                </c:pt>
                <c:pt idx="7">
                  <c:v>Nayeem</c:v>
                </c:pt>
                <c:pt idx="8">
                  <c:v>Rafi</c:v>
                </c:pt>
                <c:pt idx="9">
                  <c:v>Rana</c:v>
                </c:pt>
                <c:pt idx="10">
                  <c:v>Sabbir</c:v>
                </c:pt>
                <c:pt idx="11">
                  <c:v>Saif</c:v>
                </c:pt>
                <c:pt idx="12">
                  <c:v>Shakib</c:v>
                </c:pt>
                <c:pt idx="13">
                  <c:v>Siam</c:v>
                </c:pt>
                <c:pt idx="14">
                  <c:v>Sumon</c:v>
                </c:pt>
                <c:pt idx="15">
                  <c:v>Tamim</c:v>
                </c:pt>
                <c:pt idx="16">
                  <c:v>(blank)</c:v>
                </c:pt>
              </c:strCache>
            </c:strRef>
          </c:cat>
          <c:val>
            <c:numRef>
              <c:f>Sheet11!$M$23:$M$40</c:f>
              <c:numCache>
                <c:formatCode>General</c:formatCode>
                <c:ptCount val="17"/>
                <c:pt idx="0">
                  <c:v>216</c:v>
                </c:pt>
                <c:pt idx="1">
                  <c:v>272</c:v>
                </c:pt>
                <c:pt idx="2">
                  <c:v>138</c:v>
                </c:pt>
                <c:pt idx="3">
                  <c:v>212</c:v>
                </c:pt>
                <c:pt idx="4">
                  <c:v>210</c:v>
                </c:pt>
                <c:pt idx="5">
                  <c:v>265</c:v>
                </c:pt>
                <c:pt idx="6">
                  <c:v>255</c:v>
                </c:pt>
                <c:pt idx="7">
                  <c:v>211</c:v>
                </c:pt>
                <c:pt idx="8">
                  <c:v>241</c:v>
                </c:pt>
                <c:pt idx="9">
                  <c:v>224</c:v>
                </c:pt>
                <c:pt idx="10">
                  <c:v>277</c:v>
                </c:pt>
                <c:pt idx="11">
                  <c:v>244</c:v>
                </c:pt>
                <c:pt idx="12">
                  <c:v>255</c:v>
                </c:pt>
                <c:pt idx="13">
                  <c:v>276</c:v>
                </c:pt>
                <c:pt idx="14">
                  <c:v>255</c:v>
                </c:pt>
                <c:pt idx="15">
                  <c:v>225</c:v>
                </c:pt>
              </c:numCache>
            </c:numRef>
          </c:val>
          <c:smooth val="0"/>
          <c:extLst>
            <c:ext xmlns:c16="http://schemas.microsoft.com/office/drawing/2014/chart" uri="{C3380CC4-5D6E-409C-BE32-E72D297353CC}">
              <c16:uniqueId val="{00000000-2028-46F9-9877-E32252C4458D}"/>
            </c:ext>
          </c:extLst>
        </c:ser>
        <c:ser>
          <c:idx val="1"/>
          <c:order val="1"/>
          <c:tx>
            <c:strRef>
              <c:f>Sheet11!$N$22</c:f>
              <c:strCache>
                <c:ptCount val="1"/>
                <c:pt idx="0">
                  <c:v>Sum of student_rank</c:v>
                </c:pt>
              </c:strCache>
            </c:strRef>
          </c:tx>
          <c:spPr>
            <a:ln w="28575" cap="rnd">
              <a:solidFill>
                <a:schemeClr val="accent2"/>
              </a:solidFill>
              <a:round/>
            </a:ln>
            <a:effectLst/>
          </c:spPr>
          <c:marker>
            <c:symbol val="circle"/>
            <c:size val="5"/>
            <c:spPr>
              <a:solidFill>
                <a:schemeClr val="accent2"/>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Sheet11!$L$23:$L$40</c:f>
              <c:strCache>
                <c:ptCount val="17"/>
                <c:pt idx="0">
                  <c:v>Arif</c:v>
                </c:pt>
                <c:pt idx="1">
                  <c:v>Fahim</c:v>
                </c:pt>
                <c:pt idx="2">
                  <c:v>Foysal</c:v>
                </c:pt>
                <c:pt idx="3">
                  <c:v>Hasan</c:v>
                </c:pt>
                <c:pt idx="4">
                  <c:v>Imran</c:v>
                </c:pt>
                <c:pt idx="5">
                  <c:v>Mahmud</c:v>
                </c:pt>
                <c:pt idx="6">
                  <c:v>Nahid</c:v>
                </c:pt>
                <c:pt idx="7">
                  <c:v>Nayeem</c:v>
                </c:pt>
                <c:pt idx="8">
                  <c:v>Rafi</c:v>
                </c:pt>
                <c:pt idx="9">
                  <c:v>Rana</c:v>
                </c:pt>
                <c:pt idx="10">
                  <c:v>Sabbir</c:v>
                </c:pt>
                <c:pt idx="11">
                  <c:v>Saif</c:v>
                </c:pt>
                <c:pt idx="12">
                  <c:v>Shakib</c:v>
                </c:pt>
                <c:pt idx="13">
                  <c:v>Siam</c:v>
                </c:pt>
                <c:pt idx="14">
                  <c:v>Sumon</c:v>
                </c:pt>
                <c:pt idx="15">
                  <c:v>Tamim</c:v>
                </c:pt>
                <c:pt idx="16">
                  <c:v>(blank)</c:v>
                </c:pt>
              </c:strCache>
            </c:strRef>
          </c:cat>
          <c:val>
            <c:numRef>
              <c:f>Sheet11!$N$23:$N$40</c:f>
              <c:numCache>
                <c:formatCode>General</c:formatCode>
                <c:ptCount val="17"/>
                <c:pt idx="0">
                  <c:v>12</c:v>
                </c:pt>
                <c:pt idx="1">
                  <c:v>3</c:v>
                </c:pt>
                <c:pt idx="2">
                  <c:v>16</c:v>
                </c:pt>
                <c:pt idx="3">
                  <c:v>13</c:v>
                </c:pt>
                <c:pt idx="4">
                  <c:v>15</c:v>
                </c:pt>
                <c:pt idx="5">
                  <c:v>4</c:v>
                </c:pt>
                <c:pt idx="6">
                  <c:v>5</c:v>
                </c:pt>
                <c:pt idx="7">
                  <c:v>14</c:v>
                </c:pt>
                <c:pt idx="8">
                  <c:v>9</c:v>
                </c:pt>
                <c:pt idx="9">
                  <c:v>11</c:v>
                </c:pt>
                <c:pt idx="10">
                  <c:v>1</c:v>
                </c:pt>
                <c:pt idx="11">
                  <c:v>8</c:v>
                </c:pt>
                <c:pt idx="12">
                  <c:v>5</c:v>
                </c:pt>
                <c:pt idx="13">
                  <c:v>2</c:v>
                </c:pt>
                <c:pt idx="14">
                  <c:v>5</c:v>
                </c:pt>
                <c:pt idx="15">
                  <c:v>10</c:v>
                </c:pt>
              </c:numCache>
            </c:numRef>
          </c:val>
          <c:smooth val="0"/>
          <c:extLst>
            <c:ext xmlns:c16="http://schemas.microsoft.com/office/drawing/2014/chart" uri="{C3380CC4-5D6E-409C-BE32-E72D297353CC}">
              <c16:uniqueId val="{00000001-2028-46F9-9877-E32252C4458D}"/>
            </c:ext>
          </c:extLst>
        </c:ser>
        <c:dLbls>
          <c:dLblPos val="t"/>
          <c:showLegendKey val="0"/>
          <c:showVal val="1"/>
          <c:showCatName val="0"/>
          <c:showSerName val="0"/>
          <c:showPercent val="0"/>
          <c:showBubbleSize val="0"/>
        </c:dLbls>
        <c:marker val="1"/>
        <c:smooth val="0"/>
        <c:axId val="1251246767"/>
        <c:axId val="1251247727"/>
      </c:lineChart>
      <c:catAx>
        <c:axId val="1251246767"/>
        <c:scaling>
          <c:orientation val="minMax"/>
        </c:scaling>
        <c:delete val="1"/>
        <c:axPos val="b"/>
        <c:numFmt formatCode="General" sourceLinked="1"/>
        <c:majorTickMark val="none"/>
        <c:minorTickMark val="none"/>
        <c:tickLblPos val="nextTo"/>
        <c:crossAx val="1251247727"/>
        <c:crosses val="autoZero"/>
        <c:auto val="1"/>
        <c:lblAlgn val="ctr"/>
        <c:lblOffset val="100"/>
        <c:noMultiLvlLbl val="0"/>
      </c:catAx>
      <c:valAx>
        <c:axId val="1251247727"/>
        <c:scaling>
          <c:orientation val="minMax"/>
        </c:scaling>
        <c:delete val="1"/>
        <c:axPos val="l"/>
        <c:numFmt formatCode="General" sourceLinked="1"/>
        <c:majorTickMark val="none"/>
        <c:minorTickMark val="none"/>
        <c:tickLblPos val="nextTo"/>
        <c:crossAx val="125124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Analysis.xlsx]Sheet11!PivotTable3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bg2">
              <a:lumMod val="2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25000"/>
            </a:schemeClr>
          </a:solidFill>
          <a:ln w="19050">
            <a:solidFill>
              <a:schemeClr val="lt1"/>
            </a:solidFill>
          </a:ln>
          <a:effectLst/>
        </c:spPr>
        <c:dLbl>
          <c:idx val="0"/>
          <c:layout>
            <c:manualLayout>
              <c:x val="0.15849432883579676"/>
              <c:y val="-6.9264069264069897E-3"/>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25000"/>
            </a:schemeClr>
          </a:solidFill>
          <a:ln w="19050">
            <a:solidFill>
              <a:schemeClr val="lt1"/>
            </a:solidFill>
          </a:ln>
          <a:effectLst/>
        </c:spPr>
        <c:dLbl>
          <c:idx val="0"/>
          <c:layout>
            <c:manualLayout>
              <c:x val="0.16047550794624435"/>
              <c:y val="0.12813852813852802"/>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25000"/>
            </a:schemeClr>
          </a:solidFill>
          <a:ln w="19050">
            <a:solidFill>
              <a:schemeClr val="lt1"/>
            </a:solidFill>
          </a:ln>
          <a:effectLst/>
        </c:spPr>
        <c:dLbl>
          <c:idx val="0"/>
          <c:layout>
            <c:manualLayout>
              <c:x val="-0.12679546306863745"/>
              <c:y val="-2.0779220779220779E-2"/>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25000"/>
            </a:schemeClr>
          </a:solidFill>
          <a:ln w="19050">
            <a:solidFill>
              <a:schemeClr val="lt1"/>
            </a:solidFill>
          </a:ln>
          <a:effectLst/>
        </c:spPr>
      </c:pivotFmt>
    </c:pivotFmts>
    <c:plotArea>
      <c:layout/>
      <c:doughnutChart>
        <c:varyColors val="1"/>
        <c:ser>
          <c:idx val="0"/>
          <c:order val="0"/>
          <c:tx>
            <c:strRef>
              <c:f>Sheet11!$J$23</c:f>
              <c:strCache>
                <c:ptCount val="1"/>
                <c:pt idx="0">
                  <c:v>Total</c:v>
                </c:pt>
              </c:strCache>
            </c:strRef>
          </c:tx>
          <c:spPr>
            <a:solidFill>
              <a:schemeClr val="bg2">
                <a:lumMod val="25000"/>
              </a:schemeClr>
            </a:solidFill>
          </c:spPr>
          <c:dPt>
            <c:idx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1-4A1D-49F6-AA53-8EBA5FC899D0}"/>
              </c:ext>
            </c:extLst>
          </c:dPt>
          <c:dPt>
            <c:idx val="1"/>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3-4A1D-49F6-AA53-8EBA5FC899D0}"/>
              </c:ext>
            </c:extLst>
          </c:dPt>
          <c:dPt>
            <c:idx val="2"/>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5-4A1D-49F6-AA53-8EBA5FC899D0}"/>
              </c:ext>
            </c:extLst>
          </c:dPt>
          <c:dPt>
            <c:idx val="3"/>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7-4A1D-49F6-AA53-8EBA5FC899D0}"/>
              </c:ext>
            </c:extLst>
          </c:dPt>
          <c:dLbls>
            <c:dLbl>
              <c:idx val="0"/>
              <c:layout>
                <c:manualLayout>
                  <c:x val="0.15849432883579676"/>
                  <c:y val="-6.926406926406989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1D-49F6-AA53-8EBA5FC899D0}"/>
                </c:ext>
              </c:extLst>
            </c:dLbl>
            <c:dLbl>
              <c:idx val="1"/>
              <c:layout>
                <c:manualLayout>
                  <c:x val="0.16047550794624435"/>
                  <c:y val="0.128138528138528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1D-49F6-AA53-8EBA5FC899D0}"/>
                </c:ext>
              </c:extLst>
            </c:dLbl>
            <c:dLbl>
              <c:idx val="2"/>
              <c:layout>
                <c:manualLayout>
                  <c:x val="-0.12679546306863745"/>
                  <c:y val="-2.07792207792207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A1D-49F6-AA53-8EBA5FC899D0}"/>
                </c:ext>
              </c:extLst>
            </c:dLbl>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Sheet11!$I$24:$I$28</c:f>
              <c:strCache>
                <c:ptCount val="4"/>
                <c:pt idx="0">
                  <c:v>Bangla</c:v>
                </c:pt>
                <c:pt idx="1">
                  <c:v>English</c:v>
                </c:pt>
                <c:pt idx="2">
                  <c:v>Mathematics</c:v>
                </c:pt>
                <c:pt idx="3">
                  <c:v>(blank)</c:v>
                </c:pt>
              </c:strCache>
            </c:strRef>
          </c:cat>
          <c:val>
            <c:numRef>
              <c:f>Sheet11!$J$24:$J$28</c:f>
              <c:numCache>
                <c:formatCode>General</c:formatCode>
                <c:ptCount val="4"/>
                <c:pt idx="0">
                  <c:v>77.9375</c:v>
                </c:pt>
                <c:pt idx="1">
                  <c:v>78.9375</c:v>
                </c:pt>
                <c:pt idx="2">
                  <c:v>84.4</c:v>
                </c:pt>
              </c:numCache>
            </c:numRef>
          </c:val>
          <c:extLst>
            <c:ext xmlns:c16="http://schemas.microsoft.com/office/drawing/2014/chart" uri="{C3380CC4-5D6E-409C-BE32-E72D297353CC}">
              <c16:uniqueId val="{00000008-4A1D-49F6-AA53-8EBA5FC899D0}"/>
            </c:ext>
          </c:extLst>
        </c:ser>
        <c:dLbls>
          <c:showLegendKey val="0"/>
          <c:showVal val="1"/>
          <c:showCatName val="0"/>
          <c:showSerName val="0"/>
          <c:showPercent val="0"/>
          <c:showBubbleSize val="0"/>
          <c:showLeaderLines val="1"/>
        </c:dLbls>
        <c:firstSliceAng val="0"/>
        <c:holeSize val="4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sp3d/>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Total</c:v>
          </c:tx>
          <c:spPr>
            <a:solidFill>
              <a:schemeClr val="tx1"/>
            </a:solidFill>
            <a:ln>
              <a:noFill/>
            </a:ln>
            <a:effectLst/>
            <a:sp3d/>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Product_140</c:v>
              </c:pt>
              <c:pt idx="1">
                <c:v>Product_145</c:v>
              </c:pt>
              <c:pt idx="2">
                <c:v>Product_190</c:v>
              </c:pt>
              <c:pt idx="3">
                <c:v>Product_195</c:v>
              </c:pt>
              <c:pt idx="4">
                <c:v>Product_240</c:v>
              </c:pt>
              <c:pt idx="5">
                <c:v>Product_245</c:v>
              </c:pt>
              <c:pt idx="6">
                <c:v>Product_290</c:v>
              </c:pt>
              <c:pt idx="7">
                <c:v>Product_295</c:v>
              </c:pt>
              <c:pt idx="8">
                <c:v>Product_340</c:v>
              </c:pt>
              <c:pt idx="9">
                <c:v>Product_345</c:v>
              </c:pt>
              <c:pt idx="10">
                <c:v>Product_390</c:v>
              </c:pt>
              <c:pt idx="11">
                <c:v>Product_395</c:v>
              </c:pt>
              <c:pt idx="12">
                <c:v>Product_40</c:v>
              </c:pt>
              <c:pt idx="13">
                <c:v>Product_440</c:v>
              </c:pt>
              <c:pt idx="14">
                <c:v>Product_445</c:v>
              </c:pt>
              <c:pt idx="15">
                <c:v>Product_45</c:v>
              </c:pt>
              <c:pt idx="16">
                <c:v>Product_490</c:v>
              </c:pt>
              <c:pt idx="17">
                <c:v>Product_495</c:v>
              </c:pt>
              <c:pt idx="18">
                <c:v>Product_90</c:v>
              </c:pt>
              <c:pt idx="19">
                <c:v>Product_95</c:v>
              </c:pt>
            </c:strLit>
          </c:cat>
          <c:val>
            <c:numLit>
              <c:formatCode>General</c:formatCode>
              <c:ptCount val="20"/>
              <c:pt idx="0">
                <c:v>3250</c:v>
              </c:pt>
              <c:pt idx="1">
                <c:v>3575</c:v>
              </c:pt>
              <c:pt idx="2">
                <c:v>3250</c:v>
              </c:pt>
              <c:pt idx="3">
                <c:v>3575</c:v>
              </c:pt>
              <c:pt idx="4">
                <c:v>3250</c:v>
              </c:pt>
              <c:pt idx="5">
                <c:v>3575</c:v>
              </c:pt>
              <c:pt idx="6">
                <c:v>3250</c:v>
              </c:pt>
              <c:pt idx="7">
                <c:v>3575</c:v>
              </c:pt>
              <c:pt idx="8">
                <c:v>3250</c:v>
              </c:pt>
              <c:pt idx="9">
                <c:v>3575</c:v>
              </c:pt>
              <c:pt idx="10">
                <c:v>3250</c:v>
              </c:pt>
              <c:pt idx="11">
                <c:v>3575</c:v>
              </c:pt>
              <c:pt idx="12">
                <c:v>3250</c:v>
              </c:pt>
              <c:pt idx="13">
                <c:v>3250</c:v>
              </c:pt>
              <c:pt idx="14">
                <c:v>3575</c:v>
              </c:pt>
              <c:pt idx="15">
                <c:v>3575</c:v>
              </c:pt>
              <c:pt idx="16">
                <c:v>3250</c:v>
              </c:pt>
              <c:pt idx="17">
                <c:v>3575</c:v>
              </c:pt>
              <c:pt idx="18">
                <c:v>3250</c:v>
              </c:pt>
              <c:pt idx="19">
                <c:v>3575</c:v>
              </c:pt>
            </c:numLit>
          </c:val>
          <c:extLst>
            <c:ext xmlns:c16="http://schemas.microsoft.com/office/drawing/2014/chart" uri="{C3380CC4-5D6E-409C-BE32-E72D297353CC}">
              <c16:uniqueId val="{00000000-52F4-4806-ADDB-4E7BE1B36A25}"/>
            </c:ext>
          </c:extLst>
        </c:ser>
        <c:dLbls>
          <c:showLegendKey val="0"/>
          <c:showVal val="1"/>
          <c:showCatName val="0"/>
          <c:showSerName val="0"/>
          <c:showPercent val="0"/>
          <c:showBubbleSize val="0"/>
        </c:dLbls>
        <c:gapWidth val="95"/>
        <c:gapDepth val="250"/>
        <c:shape val="box"/>
        <c:axId val="1120471055"/>
        <c:axId val="1120492175"/>
        <c:axId val="1129740927"/>
      </c:bar3DChart>
      <c:catAx>
        <c:axId val="1120471055"/>
        <c:scaling>
          <c:orientation val="minMax"/>
        </c:scaling>
        <c:delete val="1"/>
        <c:axPos val="b"/>
        <c:numFmt formatCode="General" sourceLinked="1"/>
        <c:majorTickMark val="out"/>
        <c:minorTickMark val="none"/>
        <c:tickLblPos val="nextTo"/>
        <c:crossAx val="1120492175"/>
        <c:crosses val="autoZero"/>
        <c:auto val="1"/>
        <c:lblAlgn val="ctr"/>
        <c:lblOffset val="100"/>
        <c:noMultiLvlLbl val="0"/>
      </c:catAx>
      <c:valAx>
        <c:axId val="1120492175"/>
        <c:scaling>
          <c:orientation val="minMax"/>
        </c:scaling>
        <c:delete val="1"/>
        <c:axPos val="l"/>
        <c:numFmt formatCode="General" sourceLinked="1"/>
        <c:majorTickMark val="out"/>
        <c:minorTickMark val="none"/>
        <c:tickLblPos val="nextTo"/>
        <c:crossAx val="1120471055"/>
        <c:crosses val="autoZero"/>
        <c:crossBetween val="between"/>
      </c:valAx>
      <c:serAx>
        <c:axId val="1129740927"/>
        <c:scaling>
          <c:orientation val="minMax"/>
        </c:scaling>
        <c:delete val="1"/>
        <c:axPos val="b"/>
        <c:majorTickMark val="out"/>
        <c:minorTickMark val="none"/>
        <c:tickLblPos val="nextTo"/>
        <c:crossAx val="112049217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ln>
                    <a:noFill/>
                  </a:ln>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lineChart>
        <c:grouping val="standard"/>
        <c:varyColors val="0"/>
        <c:ser>
          <c:idx val="0"/>
          <c:order val="0"/>
          <c:tx>
            <c:v>Total</c:v>
          </c:tx>
          <c:spPr>
            <a:ln w="28575" cap="rnd">
              <a:solidFill>
                <a:schemeClr val="tx1"/>
              </a:solidFill>
              <a:round/>
            </a:ln>
            <a:effectLst/>
          </c:spPr>
          <c:marker>
            <c:symbol val="circle"/>
            <c:size val="5"/>
            <c:spPr>
              <a:solidFill>
                <a:schemeClr val="accent1"/>
              </a:solidFill>
              <a:ln w="9525">
                <a:solidFill>
                  <a:schemeClr val="accent1"/>
                </a:solidFill>
              </a:ln>
              <a:effectLst/>
            </c:spPr>
          </c:marker>
          <c:dLbls>
            <c:numFmt formatCode="#,##0" sourceLinked="0"/>
            <c:spPr>
              <a:solidFill>
                <a:schemeClr val="accent2"/>
              </a:solidFill>
              <a:ln>
                <a:noFill/>
              </a:ln>
              <a:effectLst/>
            </c:spPr>
            <c:txPr>
              <a:bodyPr rot="0" spcFirstLastPara="1" vertOverflow="ellipsis" vert="horz" wrap="square" lIns="38100" tIns="19050" rIns="38100" bIns="19050" anchor="ctr" anchorCtr="1">
                <a:spAutoFit/>
              </a:bodyPr>
              <a:lstStyle/>
              <a:p>
                <a:pPr>
                  <a:defRPr sz="1050" b="1" i="1"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september</c:v>
              </c:pt>
              <c:pt idx="1">
                <c:v>august   </c:v>
              </c:pt>
              <c:pt idx="2">
                <c:v>december </c:v>
              </c:pt>
              <c:pt idx="3">
                <c:v>january  </c:v>
              </c:pt>
              <c:pt idx="4">
                <c:v>july     </c:v>
              </c:pt>
              <c:pt idx="5">
                <c:v>november </c:v>
              </c:pt>
              <c:pt idx="6">
                <c:v>october  </c:v>
              </c:pt>
            </c:strLit>
          </c:cat>
          <c:val>
            <c:numLit>
              <c:formatCode>General</c:formatCode>
              <c:ptCount val="7"/>
              <c:pt idx="0">
                <c:v>117455</c:v>
              </c:pt>
              <c:pt idx="1">
                <c:v>105274</c:v>
              </c:pt>
              <c:pt idx="2">
                <c:v>129454</c:v>
              </c:pt>
              <c:pt idx="3">
                <c:v>38415</c:v>
              </c:pt>
              <c:pt idx="4">
                <c:v>39546</c:v>
              </c:pt>
              <c:pt idx="5">
                <c:v>116415</c:v>
              </c:pt>
              <c:pt idx="6">
                <c:v>126191</c:v>
              </c:pt>
            </c:numLit>
          </c:val>
          <c:smooth val="0"/>
          <c:extLst>
            <c:ext xmlns:c16="http://schemas.microsoft.com/office/drawing/2014/chart" uri="{C3380CC4-5D6E-409C-BE32-E72D297353CC}">
              <c16:uniqueId val="{00000000-FA91-4CAF-9AE7-825A224E9B9F}"/>
            </c:ext>
          </c:extLst>
        </c:ser>
        <c:dLbls>
          <c:showLegendKey val="0"/>
          <c:showVal val="0"/>
          <c:showCatName val="0"/>
          <c:showSerName val="0"/>
          <c:showPercent val="0"/>
          <c:showBubbleSize val="0"/>
        </c:dLbls>
        <c:marker val="1"/>
        <c:smooth val="0"/>
        <c:axId val="302997343"/>
        <c:axId val="51519935"/>
      </c:lineChart>
      <c:catAx>
        <c:axId val="3029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9935"/>
        <c:crosses val="autoZero"/>
        <c:auto val="1"/>
        <c:lblAlgn val="ctr"/>
        <c:lblOffset val="100"/>
        <c:noMultiLvlLbl val="0"/>
      </c:catAx>
      <c:valAx>
        <c:axId val="51519935"/>
        <c:scaling>
          <c:orientation val="minMax"/>
        </c:scaling>
        <c:delete val="1"/>
        <c:axPos val="l"/>
        <c:numFmt formatCode="General" sourceLinked="1"/>
        <c:majorTickMark val="none"/>
        <c:minorTickMark val="none"/>
        <c:tickLblPos val="nextTo"/>
        <c:crossAx val="30299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explosion val="7"/>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69D-49AA-B8A4-E4BEFBD5DDC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69D-49AA-B8A4-E4BEFBD5DDC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69D-49AA-B8A4-E4BEFBD5DDC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69D-49AA-B8A4-E4BEFBD5DDC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69D-49AA-B8A4-E4BEFBD5DD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Lit>
              <c:ptCount val="5"/>
              <c:pt idx="0">
                <c:v>Central</c:v>
              </c:pt>
              <c:pt idx="1">
                <c:v>East</c:v>
              </c:pt>
              <c:pt idx="2">
                <c:v>North</c:v>
              </c:pt>
              <c:pt idx="3">
                <c:v>South</c:v>
              </c:pt>
              <c:pt idx="4">
                <c:v>West</c:v>
              </c:pt>
            </c:strLit>
          </c:cat>
          <c:val>
            <c:numLit>
              <c:formatCode>General</c:formatCode>
              <c:ptCount val="5"/>
              <c:pt idx="0">
                <c:v>189800</c:v>
              </c:pt>
              <c:pt idx="1">
                <c:v>89700</c:v>
              </c:pt>
              <c:pt idx="2">
                <c:v>211250</c:v>
              </c:pt>
              <c:pt idx="3">
                <c:v>43550</c:v>
              </c:pt>
              <c:pt idx="4">
                <c:v>138450</c:v>
              </c:pt>
            </c:numLit>
          </c:val>
          <c:extLst>
            <c:ext xmlns:c16="http://schemas.microsoft.com/office/drawing/2014/chart" uri="{C3380CC4-5D6E-409C-BE32-E72D297353CC}">
              <c16:uniqueId val="{0000000A-F69D-49AA-B8A4-E4BEFBD5DDCD}"/>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Analysis.xlsx]Sales &amp; revenue!PivotTable3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chemeClr val="accent2"/>
                </a:solidFill>
              </a:rPr>
              <a:t>Subject</a:t>
            </a:r>
            <a:r>
              <a:rPr lang="en-US" sz="2000" b="1" i="1" baseline="0">
                <a:solidFill>
                  <a:schemeClr val="accent2"/>
                </a:solidFill>
              </a:rPr>
              <a:t> wise avg_marks</a:t>
            </a:r>
            <a:endParaRPr lang="en-US" sz="2000" b="1" i="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&amp; revenue'!$L$7</c:f>
              <c:strCache>
                <c:ptCount val="1"/>
                <c:pt idx="0">
                  <c:v>Total</c:v>
                </c:pt>
              </c:strCache>
            </c:strRef>
          </c:tx>
          <c:spPr>
            <a:solidFill>
              <a:schemeClr val="accent4">
                <a:lumMod val="20000"/>
                <a:lumOff val="8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revenue'!$K$8:$K$28</c:f>
              <c:strCache>
                <c:ptCount val="20"/>
                <c:pt idx="0">
                  <c:v>Accounting</c:v>
                </c:pt>
                <c:pt idx="1">
                  <c:v>AI Basics</c:v>
                </c:pt>
                <c:pt idx="2">
                  <c:v>Biology</c:v>
                </c:pt>
                <c:pt idx="3">
                  <c:v>Chemistry</c:v>
                </c:pt>
                <c:pt idx="4">
                  <c:v>Computer Science</c:v>
                </c:pt>
                <c:pt idx="5">
                  <c:v>Data Science</c:v>
                </c:pt>
                <c:pt idx="6">
                  <c:v>Database Systems</c:v>
                </c:pt>
                <c:pt idx="7">
                  <c:v>Economics</c:v>
                </c:pt>
                <c:pt idx="8">
                  <c:v>English</c:v>
                </c:pt>
                <c:pt idx="9">
                  <c:v>Finance</c:v>
                </c:pt>
                <c:pt idx="10">
                  <c:v>Geography</c:v>
                </c:pt>
                <c:pt idx="11">
                  <c:v>History</c:v>
                </c:pt>
                <c:pt idx="12">
                  <c:v>ICT</c:v>
                </c:pt>
                <c:pt idx="13">
                  <c:v>Machine Learning</c:v>
                </c:pt>
                <c:pt idx="14">
                  <c:v>Management</c:v>
                </c:pt>
                <c:pt idx="15">
                  <c:v>Marketing</c:v>
                </c:pt>
                <c:pt idx="16">
                  <c:v>Mathematics</c:v>
                </c:pt>
                <c:pt idx="17">
                  <c:v>Physics</c:v>
                </c:pt>
                <c:pt idx="18">
                  <c:v>Programming</c:v>
                </c:pt>
                <c:pt idx="19">
                  <c:v>Statistics</c:v>
                </c:pt>
              </c:strCache>
            </c:strRef>
          </c:cat>
          <c:val>
            <c:numRef>
              <c:f>'Sales &amp; revenue'!$L$8:$L$28</c:f>
              <c:numCache>
                <c:formatCode>General</c:formatCode>
                <c:ptCount val="20"/>
                <c:pt idx="0">
                  <c:v>70</c:v>
                </c:pt>
                <c:pt idx="1">
                  <c:v>87</c:v>
                </c:pt>
                <c:pt idx="2">
                  <c:v>91</c:v>
                </c:pt>
                <c:pt idx="3">
                  <c:v>79</c:v>
                </c:pt>
                <c:pt idx="4">
                  <c:v>83</c:v>
                </c:pt>
                <c:pt idx="5">
                  <c:v>67</c:v>
                </c:pt>
                <c:pt idx="6">
                  <c:v>72</c:v>
                </c:pt>
                <c:pt idx="7">
                  <c:v>85</c:v>
                </c:pt>
                <c:pt idx="8">
                  <c:v>89</c:v>
                </c:pt>
                <c:pt idx="9">
                  <c:v>74</c:v>
                </c:pt>
                <c:pt idx="10">
                  <c:v>76</c:v>
                </c:pt>
                <c:pt idx="11">
                  <c:v>68</c:v>
                </c:pt>
                <c:pt idx="12">
                  <c:v>69</c:v>
                </c:pt>
                <c:pt idx="13">
                  <c:v>90</c:v>
                </c:pt>
                <c:pt idx="14">
                  <c:v>92</c:v>
                </c:pt>
                <c:pt idx="15">
                  <c:v>88</c:v>
                </c:pt>
                <c:pt idx="16">
                  <c:v>81</c:v>
                </c:pt>
                <c:pt idx="17">
                  <c:v>90</c:v>
                </c:pt>
                <c:pt idx="18">
                  <c:v>95</c:v>
                </c:pt>
                <c:pt idx="19">
                  <c:v>78</c:v>
                </c:pt>
              </c:numCache>
            </c:numRef>
          </c:val>
          <c:extLst>
            <c:ext xmlns:c16="http://schemas.microsoft.com/office/drawing/2014/chart" uri="{C3380CC4-5D6E-409C-BE32-E72D297353CC}">
              <c16:uniqueId val="{00000000-F31C-499B-A2FA-627C2F0B7902}"/>
            </c:ext>
          </c:extLst>
        </c:ser>
        <c:dLbls>
          <c:showLegendKey val="0"/>
          <c:showVal val="1"/>
          <c:showCatName val="0"/>
          <c:showSerName val="0"/>
          <c:showPercent val="0"/>
          <c:showBubbleSize val="0"/>
        </c:dLbls>
        <c:gapWidth val="150"/>
        <c:shape val="box"/>
        <c:axId val="689929424"/>
        <c:axId val="689927984"/>
        <c:axId val="0"/>
      </c:bar3DChart>
      <c:catAx>
        <c:axId val="689929424"/>
        <c:scaling>
          <c:orientation val="minMax"/>
        </c:scaling>
        <c:delete val="0"/>
        <c:axPos val="b"/>
        <c:numFmt formatCode="General" sourceLinked="1"/>
        <c:majorTickMark val="out"/>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27984"/>
        <c:crosses val="autoZero"/>
        <c:auto val="0"/>
        <c:lblAlgn val="ctr"/>
        <c:lblOffset val="100"/>
        <c:noMultiLvlLbl val="0"/>
      </c:catAx>
      <c:valAx>
        <c:axId val="689927984"/>
        <c:scaling>
          <c:orientation val="minMax"/>
        </c:scaling>
        <c:delete val="1"/>
        <c:axPos val="l"/>
        <c:numFmt formatCode="General" sourceLinked="1"/>
        <c:majorTickMark val="out"/>
        <c:minorTickMark val="none"/>
        <c:tickLblPos val="nextTo"/>
        <c:crossAx val="68992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Analysis.xlsx]Sales &amp; revenue!PivotTable7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chemeClr val="accent2"/>
                </a:solidFill>
              </a:rPr>
              <a:t>Top_3_students</a:t>
            </a:r>
            <a:r>
              <a:rPr lang="en-US" sz="2000" b="1" i="1" baseline="0">
                <a:solidFill>
                  <a:schemeClr val="accent2"/>
                </a:solidFill>
              </a:rPr>
              <a:t> marks</a:t>
            </a:r>
            <a:endParaRPr lang="en-US" sz="2000" b="1" i="1">
              <a:solidFill>
                <a:schemeClr val="accent2"/>
              </a:solidFill>
            </a:endParaRPr>
          </a:p>
        </c:rich>
      </c:tx>
      <c:layout>
        <c:manualLayout>
          <c:xMode val="edge"/>
          <c:yMode val="edge"/>
          <c:x val="0.27928083989501307"/>
          <c:y val="8.8534664874207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5">
              <a:lumMod val="75000"/>
            </a:schemeClr>
          </a:solidFill>
          <a:ln>
            <a:noFill/>
          </a:ln>
          <a:effectLst/>
        </c:spPr>
      </c:pivotFmt>
      <c:pivotFmt>
        <c:idx val="10"/>
        <c:spPr>
          <a:solidFill>
            <a:schemeClr val="accent1"/>
          </a:solidFill>
          <a:ln>
            <a:noFill/>
          </a:ln>
          <a:effectLst/>
        </c:spPr>
      </c:pivotFmt>
    </c:pivotFmts>
    <c:plotArea>
      <c:layout/>
      <c:doughnutChart>
        <c:varyColors val="1"/>
        <c:ser>
          <c:idx val="0"/>
          <c:order val="0"/>
          <c:tx>
            <c:strRef>
              <c:f>'Sales &amp; revenue'!$O$2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DD5-4EC4-8077-021171D3B39B}"/>
              </c:ext>
            </c:extLst>
          </c:dPt>
          <c:dPt>
            <c:idx val="1"/>
            <c:bubble3D val="0"/>
            <c:spPr>
              <a:solidFill>
                <a:schemeClr val="accent2"/>
              </a:solidFill>
              <a:ln>
                <a:noFill/>
              </a:ln>
              <a:effectLst/>
            </c:spPr>
            <c:extLst>
              <c:ext xmlns:c16="http://schemas.microsoft.com/office/drawing/2014/chart" uri="{C3380CC4-5D6E-409C-BE32-E72D297353CC}">
                <c16:uniqueId val="{00000003-8DD5-4EC4-8077-021171D3B39B}"/>
              </c:ext>
            </c:extLst>
          </c:dPt>
          <c:dPt>
            <c:idx val="2"/>
            <c:bubble3D val="0"/>
            <c:spPr>
              <a:solidFill>
                <a:schemeClr val="accent5">
                  <a:lumMod val="75000"/>
                </a:schemeClr>
              </a:solidFill>
              <a:ln>
                <a:noFill/>
              </a:ln>
              <a:effectLst/>
            </c:spPr>
            <c:extLst>
              <c:ext xmlns:c16="http://schemas.microsoft.com/office/drawing/2014/chart" uri="{C3380CC4-5D6E-409C-BE32-E72D297353CC}">
                <c16:uniqueId val="{00000005-8DD5-4EC4-8077-021171D3B39B}"/>
              </c:ext>
            </c:extLst>
          </c:dPt>
          <c:dPt>
            <c:idx val="3"/>
            <c:bubble3D val="0"/>
            <c:spPr>
              <a:solidFill>
                <a:schemeClr val="accent4"/>
              </a:solidFill>
              <a:ln>
                <a:noFill/>
              </a:ln>
              <a:effectLst/>
            </c:spPr>
            <c:extLst>
              <c:ext xmlns:c16="http://schemas.microsoft.com/office/drawing/2014/chart" uri="{C3380CC4-5D6E-409C-BE32-E72D297353CC}">
                <c16:uniqueId val="{00000007-8DD5-4EC4-8077-021171D3B39B}"/>
              </c:ext>
            </c:extLst>
          </c:dPt>
          <c:dLbls>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&amp; revenue'!$N$3:$N$7</c:f>
              <c:strCache>
                <c:ptCount val="4"/>
                <c:pt idx="0">
                  <c:v>Fahim</c:v>
                </c:pt>
                <c:pt idx="1">
                  <c:v>Nayeem</c:v>
                </c:pt>
                <c:pt idx="2">
                  <c:v>Rana</c:v>
                </c:pt>
                <c:pt idx="3">
                  <c:v>(blank)</c:v>
                </c:pt>
              </c:strCache>
            </c:strRef>
          </c:cat>
          <c:val>
            <c:numRef>
              <c:f>'Sales &amp; revenue'!$O$3:$O$7</c:f>
              <c:numCache>
                <c:formatCode>General</c:formatCode>
                <c:ptCount val="4"/>
                <c:pt idx="0">
                  <c:v>95</c:v>
                </c:pt>
                <c:pt idx="1">
                  <c:v>92</c:v>
                </c:pt>
                <c:pt idx="2">
                  <c:v>91</c:v>
                </c:pt>
              </c:numCache>
            </c:numRef>
          </c:val>
          <c:extLst>
            <c:ext xmlns:c16="http://schemas.microsoft.com/office/drawing/2014/chart" uri="{C3380CC4-5D6E-409C-BE32-E72D297353CC}">
              <c16:uniqueId val="{00000008-8DD5-4EC4-8077-021171D3B39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Analysis.xlsx]Sales &amp; revenue!PivotTable4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chemeClr val="accent2"/>
                </a:solidFill>
              </a:rPr>
              <a:t>Students</a:t>
            </a:r>
            <a:r>
              <a:rPr lang="en-US" sz="1800" b="1" i="1" baseline="0">
                <a:solidFill>
                  <a:schemeClr val="accent2"/>
                </a:solidFill>
              </a:rPr>
              <a:t>_total_marks &amp; rank</a:t>
            </a:r>
            <a:endParaRPr lang="en-US" sz="1800" b="1" i="1">
              <a:solidFill>
                <a:schemeClr val="accent2"/>
              </a:solidFill>
            </a:endParaRPr>
          </a:p>
        </c:rich>
      </c:tx>
      <c:layout>
        <c:manualLayout>
          <c:xMode val="edge"/>
          <c:yMode val="edge"/>
          <c:x val="0.26019110548244406"/>
          <c:y val="8.04045835733947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&amp; revenue'!$F$22</c:f>
              <c:strCache>
                <c:ptCount val="1"/>
                <c:pt idx="0">
                  <c:v>Sum of marks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revenue'!$E$23:$E$43</c:f>
              <c:strCache>
                <c:ptCount val="20"/>
                <c:pt idx="0">
                  <c:v>Abu Saib</c:v>
                </c:pt>
                <c:pt idx="1">
                  <c:v>Arafat</c:v>
                </c:pt>
                <c:pt idx="2">
                  <c:v>Fahim</c:v>
                </c:pt>
                <c:pt idx="3">
                  <c:v>Hasan</c:v>
                </c:pt>
                <c:pt idx="4">
                  <c:v>Imran</c:v>
                </c:pt>
                <c:pt idx="5">
                  <c:v>Jubayer</c:v>
                </c:pt>
                <c:pt idx="6">
                  <c:v>Karim</c:v>
                </c:pt>
                <c:pt idx="7">
                  <c:v>Mahmud</c:v>
                </c:pt>
                <c:pt idx="8">
                  <c:v>Nafiz</c:v>
                </c:pt>
                <c:pt idx="9">
                  <c:v>Nayeem</c:v>
                </c:pt>
                <c:pt idx="10">
                  <c:v>Rafi</c:v>
                </c:pt>
                <c:pt idx="11">
                  <c:v>Rahim</c:v>
                </c:pt>
                <c:pt idx="12">
                  <c:v>Rana</c:v>
                </c:pt>
                <c:pt idx="13">
                  <c:v>Sabbir</c:v>
                </c:pt>
                <c:pt idx="14">
                  <c:v>Shakib</c:v>
                </c:pt>
                <c:pt idx="15">
                  <c:v>Sheol</c:v>
                </c:pt>
                <c:pt idx="16">
                  <c:v>Siam</c:v>
                </c:pt>
                <c:pt idx="17">
                  <c:v>Sumi</c:v>
                </c:pt>
                <c:pt idx="18">
                  <c:v>Sumon</c:v>
                </c:pt>
                <c:pt idx="19">
                  <c:v>Tamim</c:v>
                </c:pt>
              </c:strCache>
            </c:strRef>
          </c:cat>
          <c:val>
            <c:numRef>
              <c:f>'Sales &amp; revenue'!$F$23:$F$43</c:f>
              <c:numCache>
                <c:formatCode>General</c:formatCode>
                <c:ptCount val="20"/>
                <c:pt idx="0">
                  <c:v>74</c:v>
                </c:pt>
                <c:pt idx="1">
                  <c:v>85</c:v>
                </c:pt>
                <c:pt idx="2">
                  <c:v>95</c:v>
                </c:pt>
                <c:pt idx="3">
                  <c:v>79</c:v>
                </c:pt>
                <c:pt idx="4">
                  <c:v>70</c:v>
                </c:pt>
                <c:pt idx="5">
                  <c:v>90</c:v>
                </c:pt>
                <c:pt idx="6">
                  <c:v>83</c:v>
                </c:pt>
                <c:pt idx="7">
                  <c:v>87</c:v>
                </c:pt>
                <c:pt idx="8">
                  <c:v>90</c:v>
                </c:pt>
                <c:pt idx="9">
                  <c:v>92</c:v>
                </c:pt>
                <c:pt idx="10">
                  <c:v>78</c:v>
                </c:pt>
                <c:pt idx="11">
                  <c:v>76</c:v>
                </c:pt>
                <c:pt idx="12">
                  <c:v>91</c:v>
                </c:pt>
                <c:pt idx="13">
                  <c:v>68</c:v>
                </c:pt>
                <c:pt idx="14">
                  <c:v>67</c:v>
                </c:pt>
                <c:pt idx="15">
                  <c:v>69</c:v>
                </c:pt>
                <c:pt idx="16">
                  <c:v>89</c:v>
                </c:pt>
                <c:pt idx="17">
                  <c:v>88</c:v>
                </c:pt>
                <c:pt idx="18">
                  <c:v>72</c:v>
                </c:pt>
                <c:pt idx="19">
                  <c:v>81</c:v>
                </c:pt>
              </c:numCache>
            </c:numRef>
          </c:val>
          <c:smooth val="0"/>
          <c:extLst>
            <c:ext xmlns:c16="http://schemas.microsoft.com/office/drawing/2014/chart" uri="{C3380CC4-5D6E-409C-BE32-E72D297353CC}">
              <c16:uniqueId val="{00000000-D7E1-4E6A-A9F0-A557BA130DF2}"/>
            </c:ext>
          </c:extLst>
        </c:ser>
        <c:ser>
          <c:idx val="1"/>
          <c:order val="1"/>
          <c:tx>
            <c:strRef>
              <c:f>'Sales &amp; revenue'!$G$22</c:f>
              <c:strCache>
                <c:ptCount val="1"/>
                <c:pt idx="0">
                  <c:v>Sum of rank</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revenue'!$E$23:$E$43</c:f>
              <c:strCache>
                <c:ptCount val="20"/>
                <c:pt idx="0">
                  <c:v>Abu Saib</c:v>
                </c:pt>
                <c:pt idx="1">
                  <c:v>Arafat</c:v>
                </c:pt>
                <c:pt idx="2">
                  <c:v>Fahim</c:v>
                </c:pt>
                <c:pt idx="3">
                  <c:v>Hasan</c:v>
                </c:pt>
                <c:pt idx="4">
                  <c:v>Imran</c:v>
                </c:pt>
                <c:pt idx="5">
                  <c:v>Jubayer</c:v>
                </c:pt>
                <c:pt idx="6">
                  <c:v>Karim</c:v>
                </c:pt>
                <c:pt idx="7">
                  <c:v>Mahmud</c:v>
                </c:pt>
                <c:pt idx="8">
                  <c:v>Nafiz</c:v>
                </c:pt>
                <c:pt idx="9">
                  <c:v>Nayeem</c:v>
                </c:pt>
                <c:pt idx="10">
                  <c:v>Rafi</c:v>
                </c:pt>
                <c:pt idx="11">
                  <c:v>Rahim</c:v>
                </c:pt>
                <c:pt idx="12">
                  <c:v>Rana</c:v>
                </c:pt>
                <c:pt idx="13">
                  <c:v>Sabbir</c:v>
                </c:pt>
                <c:pt idx="14">
                  <c:v>Shakib</c:v>
                </c:pt>
                <c:pt idx="15">
                  <c:v>Sheol</c:v>
                </c:pt>
                <c:pt idx="16">
                  <c:v>Siam</c:v>
                </c:pt>
                <c:pt idx="17">
                  <c:v>Sumi</c:v>
                </c:pt>
                <c:pt idx="18">
                  <c:v>Sumon</c:v>
                </c:pt>
                <c:pt idx="19">
                  <c:v>Tamim</c:v>
                </c:pt>
              </c:strCache>
            </c:strRef>
          </c:cat>
          <c:val>
            <c:numRef>
              <c:f>'Sales &amp; revenue'!$G$23:$G$43</c:f>
              <c:numCache>
                <c:formatCode>General</c:formatCode>
                <c:ptCount val="20"/>
                <c:pt idx="0">
                  <c:v>9</c:v>
                </c:pt>
                <c:pt idx="1">
                  <c:v>1</c:v>
                </c:pt>
                <c:pt idx="2">
                  <c:v>17</c:v>
                </c:pt>
                <c:pt idx="3">
                  <c:v>13</c:v>
                </c:pt>
                <c:pt idx="4">
                  <c:v>14</c:v>
                </c:pt>
                <c:pt idx="5">
                  <c:v>20</c:v>
                </c:pt>
                <c:pt idx="6">
                  <c:v>12</c:v>
                </c:pt>
                <c:pt idx="7">
                  <c:v>19</c:v>
                </c:pt>
                <c:pt idx="8">
                  <c:v>7</c:v>
                </c:pt>
                <c:pt idx="9">
                  <c:v>16</c:v>
                </c:pt>
                <c:pt idx="10">
                  <c:v>2</c:v>
                </c:pt>
                <c:pt idx="11">
                  <c:v>11</c:v>
                </c:pt>
                <c:pt idx="12">
                  <c:v>6</c:v>
                </c:pt>
                <c:pt idx="13">
                  <c:v>15</c:v>
                </c:pt>
                <c:pt idx="14">
                  <c:v>4</c:v>
                </c:pt>
                <c:pt idx="15">
                  <c:v>8</c:v>
                </c:pt>
                <c:pt idx="16">
                  <c:v>18</c:v>
                </c:pt>
                <c:pt idx="17">
                  <c:v>3</c:v>
                </c:pt>
                <c:pt idx="18">
                  <c:v>4</c:v>
                </c:pt>
                <c:pt idx="19">
                  <c:v>10</c:v>
                </c:pt>
              </c:numCache>
            </c:numRef>
          </c:val>
          <c:smooth val="0"/>
          <c:extLst>
            <c:ext xmlns:c16="http://schemas.microsoft.com/office/drawing/2014/chart" uri="{C3380CC4-5D6E-409C-BE32-E72D297353CC}">
              <c16:uniqueId val="{00000001-D7E1-4E6A-A9F0-A557BA130DF2}"/>
            </c:ext>
          </c:extLst>
        </c:ser>
        <c:dLbls>
          <c:dLblPos val="t"/>
          <c:showLegendKey val="0"/>
          <c:showVal val="1"/>
          <c:showCatName val="0"/>
          <c:showSerName val="0"/>
          <c:showPercent val="0"/>
          <c:showBubbleSize val="0"/>
        </c:dLbls>
        <c:smooth val="0"/>
        <c:axId val="689927504"/>
        <c:axId val="689939984"/>
      </c:lineChart>
      <c:catAx>
        <c:axId val="689927504"/>
        <c:scaling>
          <c:orientation val="minMax"/>
        </c:scaling>
        <c:delete val="1"/>
        <c:axPos val="b"/>
        <c:numFmt formatCode="General" sourceLinked="1"/>
        <c:majorTickMark val="none"/>
        <c:minorTickMark val="none"/>
        <c:tickLblPos val="nextTo"/>
        <c:crossAx val="689939984"/>
        <c:crosses val="autoZero"/>
        <c:auto val="1"/>
        <c:lblAlgn val="ctr"/>
        <c:lblOffset val="100"/>
        <c:noMultiLvlLbl val="0"/>
      </c:catAx>
      <c:valAx>
        <c:axId val="689939984"/>
        <c:scaling>
          <c:orientation val="minMax"/>
        </c:scaling>
        <c:delete val="1"/>
        <c:axPos val="l"/>
        <c:numFmt formatCode="General" sourceLinked="1"/>
        <c:majorTickMark val="none"/>
        <c:minorTickMark val="none"/>
        <c:tickLblPos val="nextTo"/>
        <c:crossAx val="6899275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Analysis.xlsx]Sales &amp; revenue!PivotTable6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chemeClr val="accent2"/>
                </a:solidFill>
              </a:rPr>
              <a:t>Top_Students</a:t>
            </a:r>
            <a:r>
              <a:rPr lang="en-US" sz="1800" b="1" i="1" baseline="0">
                <a:solidFill>
                  <a:schemeClr val="accent2"/>
                </a:solidFill>
              </a:rPr>
              <a:t> contribution_percentage</a:t>
            </a:r>
            <a:endParaRPr lang="en-US" sz="1800" b="1" i="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3398565765053425E-2"/>
          <c:y val="0.13448015650479517"/>
          <c:w val="0.93863319386331934"/>
          <c:h val="0.74744994870178028"/>
        </c:manualLayout>
      </c:layout>
      <c:bar3DChart>
        <c:barDir val="col"/>
        <c:grouping val="standard"/>
        <c:varyColors val="0"/>
        <c:ser>
          <c:idx val="0"/>
          <c:order val="0"/>
          <c:tx>
            <c:strRef>
              <c:f>'Sales &amp; revenue'!$B$25</c:f>
              <c:strCache>
                <c:ptCount val="1"/>
                <c:pt idx="0">
                  <c:v>Total</c:v>
                </c:pt>
              </c:strCache>
            </c:strRef>
          </c:tx>
          <c:spPr>
            <a:solidFill>
              <a:schemeClr val="accent1">
                <a:lumMod val="20000"/>
                <a:lumOff val="8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revenue'!$A$26:$A$30</c:f>
              <c:strCache>
                <c:ptCount val="4"/>
                <c:pt idx="0">
                  <c:v>Fahim</c:v>
                </c:pt>
                <c:pt idx="1">
                  <c:v>Nayeem</c:v>
                </c:pt>
                <c:pt idx="2">
                  <c:v>Rana</c:v>
                </c:pt>
                <c:pt idx="3">
                  <c:v>(blank)</c:v>
                </c:pt>
              </c:strCache>
            </c:strRef>
          </c:cat>
          <c:val>
            <c:numRef>
              <c:f>'Sales &amp; revenue'!$B$26:$B$30</c:f>
              <c:numCache>
                <c:formatCode>General</c:formatCode>
                <c:ptCount val="4"/>
                <c:pt idx="0">
                  <c:v>5.85</c:v>
                </c:pt>
                <c:pt idx="1">
                  <c:v>5.67</c:v>
                </c:pt>
                <c:pt idx="2">
                  <c:v>5.6</c:v>
                </c:pt>
                <c:pt idx="3">
                  <c:v>82.88</c:v>
                </c:pt>
              </c:numCache>
            </c:numRef>
          </c:val>
          <c:extLst>
            <c:ext xmlns:c16="http://schemas.microsoft.com/office/drawing/2014/chart" uri="{C3380CC4-5D6E-409C-BE32-E72D297353CC}">
              <c16:uniqueId val="{00000000-68B5-431D-A3E0-4B3463050017}"/>
            </c:ext>
          </c:extLst>
        </c:ser>
        <c:dLbls>
          <c:showLegendKey val="0"/>
          <c:showVal val="1"/>
          <c:showCatName val="0"/>
          <c:showSerName val="0"/>
          <c:showPercent val="0"/>
          <c:showBubbleSize val="0"/>
        </c:dLbls>
        <c:gapWidth val="150"/>
        <c:shape val="box"/>
        <c:axId val="689930864"/>
        <c:axId val="689933744"/>
        <c:axId val="685822944"/>
      </c:bar3DChart>
      <c:catAx>
        <c:axId val="689930864"/>
        <c:scaling>
          <c:orientation val="minMax"/>
        </c:scaling>
        <c:delete val="1"/>
        <c:axPos val="b"/>
        <c:numFmt formatCode="General" sourceLinked="1"/>
        <c:majorTickMark val="none"/>
        <c:minorTickMark val="none"/>
        <c:tickLblPos val="nextTo"/>
        <c:crossAx val="689933744"/>
        <c:crosses val="autoZero"/>
        <c:auto val="1"/>
        <c:lblAlgn val="ctr"/>
        <c:lblOffset val="100"/>
        <c:noMultiLvlLbl val="0"/>
      </c:catAx>
      <c:valAx>
        <c:axId val="689933744"/>
        <c:scaling>
          <c:orientation val="minMax"/>
        </c:scaling>
        <c:delete val="1"/>
        <c:axPos val="l"/>
        <c:numFmt formatCode="General" sourceLinked="1"/>
        <c:majorTickMark val="none"/>
        <c:minorTickMark val="none"/>
        <c:tickLblPos val="nextTo"/>
        <c:crossAx val="689930864"/>
        <c:crosses val="autoZero"/>
        <c:crossBetween val="between"/>
      </c:valAx>
      <c:serAx>
        <c:axId val="685822944"/>
        <c:scaling>
          <c:orientation val="minMax"/>
        </c:scaling>
        <c:delete val="1"/>
        <c:axPos val="b"/>
        <c:majorTickMark val="none"/>
        <c:minorTickMark val="none"/>
        <c:tickLblPos val="nextTo"/>
        <c:crossAx val="68993374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Analysis.xlsx]Banking 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bg1"/>
                </a:solidFill>
              </a:rPr>
              <a:t>Top</a:t>
            </a:r>
            <a:r>
              <a:rPr lang="en-US" sz="1600" b="1" i="1" baseline="0">
                <a:solidFill>
                  <a:schemeClr val="bg1"/>
                </a:solidFill>
              </a:rPr>
              <a:t> 5 Customers</a:t>
            </a:r>
            <a:endParaRPr lang="en-US" sz="1600" b="1" i="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'Banking Analysis'!$S$7</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'Banking Analysis'!$R$8:$R$13</c:f>
              <c:strCache>
                <c:ptCount val="5"/>
                <c:pt idx="0">
                  <c:v>Mahmud</c:v>
                </c:pt>
                <c:pt idx="1">
                  <c:v>Jahid</c:v>
                </c:pt>
                <c:pt idx="2">
                  <c:v>Rashed</c:v>
                </c:pt>
                <c:pt idx="3">
                  <c:v>Nazmul</c:v>
                </c:pt>
                <c:pt idx="4">
                  <c:v>Amin</c:v>
                </c:pt>
              </c:strCache>
            </c:strRef>
          </c:cat>
          <c:val>
            <c:numRef>
              <c:f>'Banking Analysis'!$S$8:$S$13</c:f>
              <c:numCache>
                <c:formatCode>General</c:formatCode>
                <c:ptCount val="5"/>
                <c:pt idx="0">
                  <c:v>70000</c:v>
                </c:pt>
                <c:pt idx="1">
                  <c:v>65000</c:v>
                </c:pt>
                <c:pt idx="2">
                  <c:v>63000</c:v>
                </c:pt>
                <c:pt idx="3">
                  <c:v>61000</c:v>
                </c:pt>
                <c:pt idx="4">
                  <c:v>60000</c:v>
                </c:pt>
              </c:numCache>
            </c:numRef>
          </c:val>
          <c:extLst>
            <c:ext xmlns:c16="http://schemas.microsoft.com/office/drawing/2014/chart" uri="{C3380CC4-5D6E-409C-BE32-E72D297353CC}">
              <c16:uniqueId val="{00000000-1216-4147-A554-0DCF5E4B145E}"/>
            </c:ext>
          </c:extLst>
        </c:ser>
        <c:dLbls>
          <c:dLblPos val="ctr"/>
          <c:showLegendKey val="0"/>
          <c:showVal val="1"/>
          <c:showCatName val="0"/>
          <c:showSerName val="0"/>
          <c:showPercent val="0"/>
          <c:showBubbleSize val="0"/>
        </c:dLbls>
        <c:gapWidth val="150"/>
        <c:overlap val="100"/>
        <c:axId val="1806167983"/>
        <c:axId val="1806166543"/>
      </c:barChart>
      <c:catAx>
        <c:axId val="1806167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806166543"/>
        <c:crosses val="autoZero"/>
        <c:auto val="1"/>
        <c:lblAlgn val="ctr"/>
        <c:lblOffset val="100"/>
        <c:noMultiLvlLbl val="0"/>
      </c:catAx>
      <c:valAx>
        <c:axId val="1806166543"/>
        <c:scaling>
          <c:orientation val="minMax"/>
        </c:scaling>
        <c:delete val="1"/>
        <c:axPos val="l"/>
        <c:numFmt formatCode="General" sourceLinked="1"/>
        <c:majorTickMark val="out"/>
        <c:minorTickMark val="none"/>
        <c:tickLblPos val="nextTo"/>
        <c:crossAx val="18061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Analysis.xlsx]Banking 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chemeClr val="bg1"/>
                </a:solidFill>
              </a:rPr>
              <a:t>Month</a:t>
            </a:r>
            <a:r>
              <a:rPr lang="en-US" sz="1800" b="1" i="1" baseline="0">
                <a:solidFill>
                  <a:schemeClr val="bg1"/>
                </a:solidFill>
              </a:rPr>
              <a:t> wise transactions amount</a:t>
            </a:r>
            <a:endParaRPr lang="en-US" sz="1800" b="1" i="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'Banking Analysis'!$V$16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'Banking Analysis'!$U$17:$U$37</c:f>
              <c:strCache>
                <c:ptCount val="20"/>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strCache>
            </c:strRef>
          </c:cat>
          <c:val>
            <c:numRef>
              <c:f>'Banking Analysis'!$V$17:$V$37</c:f>
              <c:numCache>
                <c:formatCode>General</c:formatCode>
                <c:ptCount val="20"/>
                <c:pt idx="0">
                  <c:v>7000</c:v>
                </c:pt>
                <c:pt idx="1">
                  <c:v>4500</c:v>
                </c:pt>
                <c:pt idx="2">
                  <c:v>9500</c:v>
                </c:pt>
                <c:pt idx="3">
                  <c:v>5800</c:v>
                </c:pt>
                <c:pt idx="4">
                  <c:v>8200</c:v>
                </c:pt>
                <c:pt idx="5">
                  <c:v>7600</c:v>
                </c:pt>
                <c:pt idx="6">
                  <c:v>5200</c:v>
                </c:pt>
                <c:pt idx="7">
                  <c:v>10600</c:v>
                </c:pt>
                <c:pt idx="8">
                  <c:v>6400</c:v>
                </c:pt>
                <c:pt idx="9">
                  <c:v>8800</c:v>
                </c:pt>
                <c:pt idx="10">
                  <c:v>9600</c:v>
                </c:pt>
                <c:pt idx="11">
                  <c:v>5400</c:v>
                </c:pt>
                <c:pt idx="12">
                  <c:v>11700</c:v>
                </c:pt>
                <c:pt idx="13">
                  <c:v>7000</c:v>
                </c:pt>
                <c:pt idx="14">
                  <c:v>9300</c:v>
                </c:pt>
                <c:pt idx="15">
                  <c:v>10100</c:v>
                </c:pt>
                <c:pt idx="16">
                  <c:v>6000</c:v>
                </c:pt>
                <c:pt idx="17">
                  <c:v>13000</c:v>
                </c:pt>
                <c:pt idx="18">
                  <c:v>7400</c:v>
                </c:pt>
                <c:pt idx="19">
                  <c:v>10500</c:v>
                </c:pt>
              </c:numCache>
            </c:numRef>
          </c:val>
          <c:smooth val="0"/>
          <c:extLst>
            <c:ext xmlns:c16="http://schemas.microsoft.com/office/drawing/2014/chart" uri="{C3380CC4-5D6E-409C-BE32-E72D297353CC}">
              <c16:uniqueId val="{00000000-FB3A-4F33-A320-08D322129626}"/>
            </c:ext>
          </c:extLst>
        </c:ser>
        <c:dLbls>
          <c:dLblPos val="t"/>
          <c:showLegendKey val="0"/>
          <c:showVal val="1"/>
          <c:showCatName val="0"/>
          <c:showSerName val="0"/>
          <c:showPercent val="0"/>
          <c:showBubbleSize val="0"/>
        </c:dLbls>
        <c:smooth val="0"/>
        <c:axId val="84755775"/>
        <c:axId val="84739455"/>
      </c:lineChart>
      <c:catAx>
        <c:axId val="84755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84739455"/>
        <c:crosses val="autoZero"/>
        <c:auto val="1"/>
        <c:lblAlgn val="ctr"/>
        <c:lblOffset val="100"/>
        <c:noMultiLvlLbl val="0"/>
      </c:catAx>
      <c:valAx>
        <c:axId val="84739455"/>
        <c:scaling>
          <c:orientation val="minMax"/>
        </c:scaling>
        <c:delete val="1"/>
        <c:axPos val="l"/>
        <c:numFmt formatCode="General" sourceLinked="1"/>
        <c:majorTickMark val="out"/>
        <c:minorTickMark val="none"/>
        <c:tickLblPos val="nextTo"/>
        <c:crossAx val="8475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Analysis.xlsx]Banking Analysis!PivotTable5</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600" i="1">
                <a:solidFill>
                  <a:schemeClr val="bg1"/>
                </a:solidFill>
              </a:rPr>
              <a:t>branch</a:t>
            </a:r>
            <a:r>
              <a:rPr lang="en-US" sz="1600" i="1" baseline="0">
                <a:solidFill>
                  <a:schemeClr val="bg1"/>
                </a:solidFill>
              </a:rPr>
              <a:t> wise total balance</a:t>
            </a:r>
            <a:endParaRPr lang="en-US" sz="1600" i="1">
              <a:solidFill>
                <a:schemeClr val="bg1"/>
              </a:solidFill>
            </a:endParaRPr>
          </a:p>
        </c:rich>
      </c:tx>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pivotFmt>
      <c:pivotFmt>
        <c:idx val="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'Banking Analysis'!$V$7</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923-4852-8EE9-419FE8DD3DE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923-4852-8EE9-419FE8DD3DEA}"/>
              </c:ext>
            </c:extLst>
          </c:dPt>
          <c:dPt>
            <c:idx val="2"/>
            <c:bubble3D val="0"/>
            <c:explosion val="2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923-4852-8EE9-419FE8DD3DEA}"/>
              </c:ext>
            </c:extLst>
          </c:dPt>
          <c:dPt>
            <c:idx val="3"/>
            <c:bubble3D val="0"/>
            <c:explosion val="12"/>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923-4852-8EE9-419FE8DD3DEA}"/>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6923-4852-8EE9-419FE8DD3DE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'Banking Analysis'!$U$8:$U$13</c:f>
              <c:strCache>
                <c:ptCount val="5"/>
                <c:pt idx="0">
                  <c:v>Dhaka Central Branch</c:v>
                </c:pt>
                <c:pt idx="1">
                  <c:v>Dhanmondi Branch</c:v>
                </c:pt>
                <c:pt idx="2">
                  <c:v>Gulshan Branch</c:v>
                </c:pt>
                <c:pt idx="3">
                  <c:v>Motijheel Branch</c:v>
                </c:pt>
                <c:pt idx="4">
                  <c:v>Uttara Branch</c:v>
                </c:pt>
              </c:strCache>
            </c:strRef>
          </c:cat>
          <c:val>
            <c:numRef>
              <c:f>'Banking Analysis'!$V$8:$V$13</c:f>
              <c:numCache>
                <c:formatCode>General</c:formatCode>
                <c:ptCount val="5"/>
                <c:pt idx="0">
                  <c:v>227000</c:v>
                </c:pt>
                <c:pt idx="1">
                  <c:v>287000</c:v>
                </c:pt>
                <c:pt idx="2">
                  <c:v>286000</c:v>
                </c:pt>
                <c:pt idx="3">
                  <c:v>406000</c:v>
                </c:pt>
                <c:pt idx="4">
                  <c:v>329000</c:v>
                </c:pt>
              </c:numCache>
            </c:numRef>
          </c:val>
          <c:extLst>
            <c:ext xmlns:c16="http://schemas.microsoft.com/office/drawing/2014/chart" uri="{C3380CC4-5D6E-409C-BE32-E72D297353CC}">
              <c16:uniqueId val="{0000000A-6923-4852-8EE9-419FE8DD3DEA}"/>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Analysis.xlsx]Banking 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chemeClr val="bg1"/>
                </a:solidFill>
              </a:rPr>
              <a:t>Lower</a:t>
            </a:r>
            <a:r>
              <a:rPr lang="en-US" sz="1800" b="1" i="1" baseline="0">
                <a:solidFill>
                  <a:schemeClr val="bg1"/>
                </a:solidFill>
              </a:rPr>
              <a:t> Balance </a:t>
            </a:r>
            <a:r>
              <a:rPr lang="en-US" sz="1800" b="1" i="1">
                <a:solidFill>
                  <a:schemeClr val="bg1"/>
                </a:solidFill>
              </a:rPr>
              <a:t>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'Banking Analysis'!$S$16</c:f>
              <c:strCache>
                <c:ptCount val="1"/>
                <c:pt idx="0">
                  <c:v>Total</c:v>
                </c:pt>
              </c:strCache>
            </c:strRef>
          </c:tx>
          <c:spPr>
            <a:solidFill>
              <a:schemeClr val="bg1">
                <a:lumMod val="8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'Banking Analysis'!$R$17:$R$20</c:f>
              <c:strCache>
                <c:ptCount val="3"/>
                <c:pt idx="0">
                  <c:v>Rafi</c:v>
                </c:pt>
                <c:pt idx="1">
                  <c:v>Sumi</c:v>
                </c:pt>
                <c:pt idx="2">
                  <c:v>Imran</c:v>
                </c:pt>
              </c:strCache>
            </c:strRef>
          </c:cat>
          <c:val>
            <c:numRef>
              <c:f>'Banking Analysis'!$S$17:$S$20</c:f>
              <c:numCache>
                <c:formatCode>General</c:formatCode>
                <c:ptCount val="3"/>
                <c:pt idx="0">
                  <c:v>12000</c:v>
                </c:pt>
                <c:pt idx="1">
                  <c:v>14000</c:v>
                </c:pt>
                <c:pt idx="2">
                  <c:v>15000</c:v>
                </c:pt>
              </c:numCache>
            </c:numRef>
          </c:val>
          <c:extLst>
            <c:ext xmlns:c16="http://schemas.microsoft.com/office/drawing/2014/chart" uri="{C3380CC4-5D6E-409C-BE32-E72D297353CC}">
              <c16:uniqueId val="{00000000-6D88-48DB-9268-A31F58E7D65A}"/>
            </c:ext>
          </c:extLst>
        </c:ser>
        <c:dLbls>
          <c:showLegendKey val="0"/>
          <c:showVal val="1"/>
          <c:showCatName val="0"/>
          <c:showSerName val="0"/>
          <c:showPercent val="0"/>
          <c:showBubbleSize val="0"/>
        </c:dLbls>
        <c:gapWidth val="190"/>
        <c:shape val="box"/>
        <c:axId val="1721652895"/>
        <c:axId val="1721657215"/>
        <c:axId val="0"/>
      </c:bar3DChart>
      <c:catAx>
        <c:axId val="17216528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721657215"/>
        <c:crosses val="autoZero"/>
        <c:auto val="1"/>
        <c:lblAlgn val="ctr"/>
        <c:lblOffset val="100"/>
        <c:noMultiLvlLbl val="0"/>
      </c:catAx>
      <c:valAx>
        <c:axId val="1721657215"/>
        <c:scaling>
          <c:orientation val="minMax"/>
        </c:scaling>
        <c:delete val="1"/>
        <c:axPos val="b"/>
        <c:numFmt formatCode="General" sourceLinked="1"/>
        <c:majorTickMark val="out"/>
        <c:minorTickMark val="none"/>
        <c:tickLblPos val="nextTo"/>
        <c:crossAx val="172165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Analysis.xlsx]Sales performance 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1"/>
                </a:solidFill>
              </a:rPr>
              <a:t>Top</a:t>
            </a:r>
            <a:r>
              <a:rPr lang="en-US" b="1" i="1" baseline="0">
                <a:solidFill>
                  <a:schemeClr val="tx1"/>
                </a:solidFill>
              </a:rPr>
              <a:t> 5 customers</a:t>
            </a:r>
            <a:endParaRPr lang="en-US"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performance Analysis'!$M$20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Analysis'!$L$21:$L$26</c:f>
              <c:strCache>
                <c:ptCount val="5"/>
                <c:pt idx="0">
                  <c:v>Saif</c:v>
                </c:pt>
                <c:pt idx="1">
                  <c:v>Imran</c:v>
                </c:pt>
                <c:pt idx="2">
                  <c:v>Mahmud</c:v>
                </c:pt>
                <c:pt idx="3">
                  <c:v>Kamal</c:v>
                </c:pt>
                <c:pt idx="4">
                  <c:v>Puja</c:v>
                </c:pt>
              </c:strCache>
            </c:strRef>
          </c:cat>
          <c:val>
            <c:numRef>
              <c:f>'Sales performance Analysis'!$M$21:$M$26</c:f>
              <c:numCache>
                <c:formatCode>General</c:formatCode>
                <c:ptCount val="5"/>
                <c:pt idx="0">
                  <c:v>300000</c:v>
                </c:pt>
                <c:pt idx="1">
                  <c:v>225000</c:v>
                </c:pt>
                <c:pt idx="2">
                  <c:v>225000</c:v>
                </c:pt>
                <c:pt idx="3">
                  <c:v>175000</c:v>
                </c:pt>
                <c:pt idx="4">
                  <c:v>168000</c:v>
                </c:pt>
              </c:numCache>
            </c:numRef>
          </c:val>
          <c:extLst>
            <c:ext xmlns:c16="http://schemas.microsoft.com/office/drawing/2014/chart" uri="{C3380CC4-5D6E-409C-BE32-E72D297353CC}">
              <c16:uniqueId val="{00000000-52D6-463A-B089-2BB67EFE1D6C}"/>
            </c:ext>
          </c:extLst>
        </c:ser>
        <c:dLbls>
          <c:dLblPos val="outEnd"/>
          <c:showLegendKey val="0"/>
          <c:showVal val="1"/>
          <c:showCatName val="0"/>
          <c:showSerName val="0"/>
          <c:showPercent val="0"/>
          <c:showBubbleSize val="0"/>
        </c:dLbls>
        <c:gapWidth val="219"/>
        <c:overlap val="-27"/>
        <c:axId val="714346719"/>
        <c:axId val="714348159"/>
      </c:barChart>
      <c:catAx>
        <c:axId val="71434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348159"/>
        <c:crosses val="autoZero"/>
        <c:auto val="1"/>
        <c:lblAlgn val="ctr"/>
        <c:lblOffset val="100"/>
        <c:noMultiLvlLbl val="0"/>
      </c:catAx>
      <c:valAx>
        <c:axId val="714348159"/>
        <c:scaling>
          <c:orientation val="minMax"/>
        </c:scaling>
        <c:delete val="1"/>
        <c:axPos val="l"/>
        <c:numFmt formatCode="General" sourceLinked="1"/>
        <c:majorTickMark val="none"/>
        <c:minorTickMark val="none"/>
        <c:tickLblPos val="nextTo"/>
        <c:crossAx val="71434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w="31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Analysis.xlsx]Sales performance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tx1"/>
                </a:solidFill>
              </a:rPr>
              <a:t>Category</a:t>
            </a:r>
            <a:r>
              <a:rPr lang="en-US" sz="1600" b="1" i="1" baseline="0">
                <a:solidFill>
                  <a:schemeClr val="tx1"/>
                </a:solidFill>
              </a:rPr>
              <a:t> wise Sales</a:t>
            </a:r>
            <a:endParaRPr lang="en-US" sz="1600"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solidFill>
              <a:schemeClr val="bg2">
                <a:lumMod val="25000"/>
              </a:schemeClr>
            </a:solid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13358070500927643"/>
              <c:y val="-2.2075055187637971E-2"/>
            </c:manualLayout>
          </c:layout>
          <c:spPr>
            <a:solidFill>
              <a:schemeClr val="bg2">
                <a:lumMod val="25000"/>
              </a:schemeClr>
            </a:solid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w="19050">
            <a:solidFill>
              <a:schemeClr val="lt1"/>
            </a:solidFill>
          </a:ln>
          <a:effectLst/>
        </c:spPr>
        <c:dLbl>
          <c:idx val="0"/>
          <c:layout>
            <c:manualLayout>
              <c:x val="-0.11131725417439703"/>
              <c:y val="3.9735099337748346E-2"/>
            </c:manualLayout>
          </c:layout>
          <c:spPr>
            <a:solidFill>
              <a:schemeClr val="bg2">
                <a:lumMod val="25000"/>
              </a:schemeClr>
            </a:solid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performance Analysis'!$M$10</c:f>
              <c:strCache>
                <c:ptCount val="1"/>
                <c:pt idx="0">
                  <c:v>Total</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792-4588-8AAA-8E86FBC0C87B}"/>
              </c:ext>
            </c:extLst>
          </c:dPt>
          <c:dPt>
            <c:idx val="1"/>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3-F792-4588-8AAA-8E86FBC0C87B}"/>
              </c:ext>
            </c:extLst>
          </c:dPt>
          <c:dLbls>
            <c:dLbl>
              <c:idx val="0"/>
              <c:layout>
                <c:manualLayout>
                  <c:x val="0.13358070500927643"/>
                  <c:y val="-2.20750551876379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92-4588-8AAA-8E86FBC0C87B}"/>
                </c:ext>
              </c:extLst>
            </c:dLbl>
            <c:dLbl>
              <c:idx val="1"/>
              <c:layout>
                <c:manualLayout>
                  <c:x val="-0.11131725417439703"/>
                  <c:y val="3.97350993377483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92-4588-8AAA-8E86FBC0C87B}"/>
                </c:ext>
              </c:extLst>
            </c:dLbl>
            <c:spPr>
              <a:solidFill>
                <a:schemeClr val="bg2">
                  <a:lumMod val="25000"/>
                </a:schemeClr>
              </a:solid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 Analysis'!$L$11:$L$13</c:f>
              <c:strCache>
                <c:ptCount val="2"/>
                <c:pt idx="0">
                  <c:v>Accessories</c:v>
                </c:pt>
                <c:pt idx="1">
                  <c:v>Electronics</c:v>
                </c:pt>
              </c:strCache>
            </c:strRef>
          </c:cat>
          <c:val>
            <c:numRef>
              <c:f>'Sales performance Analysis'!$M$11:$M$13</c:f>
              <c:numCache>
                <c:formatCode>General</c:formatCode>
                <c:ptCount val="2"/>
                <c:pt idx="0">
                  <c:v>55200</c:v>
                </c:pt>
                <c:pt idx="1">
                  <c:v>2722400</c:v>
                </c:pt>
              </c:numCache>
            </c:numRef>
          </c:val>
          <c:extLst>
            <c:ext xmlns:c16="http://schemas.microsoft.com/office/drawing/2014/chart" uri="{C3380CC4-5D6E-409C-BE32-E72D297353CC}">
              <c16:uniqueId val="{00000004-F792-4588-8AAA-8E86FBC0C87B}"/>
            </c:ext>
          </c:extLst>
        </c:ser>
        <c:dLbls>
          <c:showLegendKey val="0"/>
          <c:showVal val="1"/>
          <c:showCatName val="0"/>
          <c:showSerName val="0"/>
          <c:showPercent val="0"/>
          <c:showBubbleSize val="0"/>
          <c:showLeaderLines val="1"/>
        </c:dLbls>
        <c:firstSliceAng val="56"/>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Analysis.xlsx]Sales performance Analysis!PivotTable11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tx1"/>
                </a:solidFill>
              </a:rPr>
              <a:t>Monthly</a:t>
            </a:r>
            <a:r>
              <a:rPr lang="en-US" sz="1600" b="1" i="1" baseline="0">
                <a:solidFill>
                  <a:schemeClr val="tx1"/>
                </a:solidFill>
              </a:rPr>
              <a:t> Sales Trend</a:t>
            </a:r>
            <a:endParaRPr lang="en-US" sz="1600"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solidFill>
              <a:schemeClr val="tx2">
                <a:lumMod val="75000"/>
              </a:schemeClr>
            </a:solidFill>
            <a:ln>
              <a:noFill/>
            </a:ln>
            <a:effectLst/>
          </c:spPr>
          <c:txPr>
            <a:bodyPr rot="0" spcFirstLastPara="1" vertOverflow="ellipsis" vert="horz" wrap="square" lIns="38100" tIns="19050" rIns="38100" bIns="19050" anchor="ctr" anchorCtr="1">
              <a:spAutoFit/>
            </a:bodyPr>
            <a:lstStyle/>
            <a:p>
              <a:pPr>
                <a:defRPr sz="800" b="1" i="1" u="none" strike="noStrike" kern="1200" baseline="0">
                  <a:solidFill>
                    <a:schemeClr val="accent1">
                      <a:lumMod val="20000"/>
                      <a:lumOff val="8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performance Analysis'!$P$19</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dLbls>
            <c:spPr>
              <a:solidFill>
                <a:schemeClr val="tx2">
                  <a:lumMod val="75000"/>
                </a:schemeClr>
              </a:solidFill>
              <a:ln>
                <a:noFill/>
              </a:ln>
              <a:effectLst/>
            </c:spPr>
            <c:txPr>
              <a:bodyPr rot="0" spcFirstLastPara="1" vertOverflow="ellipsis" vert="horz" wrap="square" lIns="38100" tIns="19050" rIns="38100" bIns="19050" anchor="ctr" anchorCtr="1">
                <a:spAutoFit/>
              </a:bodyPr>
              <a:lstStyle/>
              <a:p>
                <a:pPr>
                  <a:defRPr sz="800" b="1" i="1" u="none" strike="noStrike" kern="1200" baseline="0">
                    <a:solidFill>
                      <a:schemeClr val="accent1">
                        <a:lumMod val="20000"/>
                        <a:lumOff val="8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Analysis'!$O$20:$O$45</c:f>
              <c:strCache>
                <c:ptCount val="25"/>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strCache>
            </c:strRef>
          </c:cat>
          <c:val>
            <c:numRef>
              <c:f>'Sales performance Analysis'!$P$20:$P$45</c:f>
              <c:numCache>
                <c:formatCode>General</c:formatCode>
                <c:ptCount val="25"/>
                <c:pt idx="0">
                  <c:v>152400</c:v>
                </c:pt>
                <c:pt idx="1">
                  <c:v>89500</c:v>
                </c:pt>
                <c:pt idx="2">
                  <c:v>95000</c:v>
                </c:pt>
                <c:pt idx="3">
                  <c:v>147000</c:v>
                </c:pt>
                <c:pt idx="4">
                  <c:v>10800</c:v>
                </c:pt>
                <c:pt idx="5">
                  <c:v>225800</c:v>
                </c:pt>
                <c:pt idx="6">
                  <c:v>113000</c:v>
                </c:pt>
                <c:pt idx="7">
                  <c:v>43500</c:v>
                </c:pt>
                <c:pt idx="8">
                  <c:v>182000</c:v>
                </c:pt>
                <c:pt idx="9">
                  <c:v>9600</c:v>
                </c:pt>
                <c:pt idx="10">
                  <c:v>302400</c:v>
                </c:pt>
                <c:pt idx="11">
                  <c:v>45500</c:v>
                </c:pt>
                <c:pt idx="12">
                  <c:v>66500</c:v>
                </c:pt>
                <c:pt idx="13">
                  <c:v>238000</c:v>
                </c:pt>
                <c:pt idx="14">
                  <c:v>10200</c:v>
                </c:pt>
                <c:pt idx="15">
                  <c:v>154000</c:v>
                </c:pt>
                <c:pt idx="16">
                  <c:v>28000</c:v>
                </c:pt>
                <c:pt idx="17">
                  <c:v>43500</c:v>
                </c:pt>
                <c:pt idx="18">
                  <c:v>301000</c:v>
                </c:pt>
                <c:pt idx="19">
                  <c:v>10800</c:v>
                </c:pt>
                <c:pt idx="20">
                  <c:v>225800</c:v>
                </c:pt>
                <c:pt idx="21">
                  <c:v>91000</c:v>
                </c:pt>
                <c:pt idx="22">
                  <c:v>66500</c:v>
                </c:pt>
                <c:pt idx="23">
                  <c:v>112000</c:v>
                </c:pt>
                <c:pt idx="24">
                  <c:v>13800</c:v>
                </c:pt>
              </c:numCache>
            </c:numRef>
          </c:val>
          <c:smooth val="0"/>
          <c:extLst>
            <c:ext xmlns:c16="http://schemas.microsoft.com/office/drawing/2014/chart" uri="{C3380CC4-5D6E-409C-BE32-E72D297353CC}">
              <c16:uniqueId val="{00000000-4744-4219-894B-77439FF3F673}"/>
            </c:ext>
          </c:extLst>
        </c:ser>
        <c:dLbls>
          <c:dLblPos val="t"/>
          <c:showLegendKey val="0"/>
          <c:showVal val="1"/>
          <c:showCatName val="0"/>
          <c:showSerName val="0"/>
          <c:showPercent val="0"/>
          <c:showBubbleSize val="0"/>
        </c:dLbls>
        <c:marker val="1"/>
        <c:smooth val="0"/>
        <c:axId val="323578207"/>
        <c:axId val="323552767"/>
      </c:lineChart>
      <c:catAx>
        <c:axId val="323578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52767"/>
        <c:crosses val="autoZero"/>
        <c:auto val="1"/>
        <c:lblAlgn val="ctr"/>
        <c:lblOffset val="100"/>
        <c:noMultiLvlLbl val="0"/>
      </c:catAx>
      <c:valAx>
        <c:axId val="323552767"/>
        <c:scaling>
          <c:orientation val="minMax"/>
        </c:scaling>
        <c:delete val="1"/>
        <c:axPos val="l"/>
        <c:numFmt formatCode="General" sourceLinked="1"/>
        <c:majorTickMark val="none"/>
        <c:minorTickMark val="none"/>
        <c:tickLblPos val="nextTo"/>
        <c:crossAx val="323578207"/>
        <c:crosses val="autoZero"/>
        <c:crossBetween val="between"/>
      </c:valAx>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Analysis.xlsx]Sales performance 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tx1"/>
                </a:solidFill>
              </a:rPr>
              <a:t>Region</a:t>
            </a:r>
            <a:r>
              <a:rPr lang="en-US" sz="1600" b="1" i="1" baseline="0">
                <a:solidFill>
                  <a:schemeClr val="tx1"/>
                </a:solidFill>
              </a:rPr>
              <a:t> wise Sales</a:t>
            </a:r>
            <a:endParaRPr lang="en-US" sz="1600"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2"/>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40000"/>
              <a:lumOff val="60000"/>
            </a:schemeClr>
          </a:solidFill>
          <a:ln w="19050">
            <a:solidFill>
              <a:schemeClr val="bg1"/>
            </a:solidFill>
          </a:ln>
          <a:effectLst/>
        </c:spPr>
      </c:pivotFmt>
      <c:pivotFmt>
        <c:idx val="8"/>
        <c:spPr>
          <a:solidFill>
            <a:schemeClr val="tx1"/>
          </a:solidFill>
          <a:ln w="19050">
            <a:solidFill>
              <a:schemeClr val="bg1"/>
            </a:solidFill>
          </a:ln>
          <a:effectLst/>
        </c:spPr>
      </c:pivotFmt>
      <c:pivotFmt>
        <c:idx val="9"/>
        <c:spPr>
          <a:solidFill>
            <a:schemeClr val="tx2"/>
          </a:solidFill>
          <a:ln w="19050">
            <a:solidFill>
              <a:schemeClr val="bg1"/>
            </a:solidFill>
          </a:ln>
          <a:effectLst/>
        </c:spPr>
      </c:pivotFmt>
      <c:pivotFmt>
        <c:idx val="10"/>
        <c:spPr>
          <a:solidFill>
            <a:schemeClr val="accent2"/>
          </a:solidFill>
          <a:ln w="19050">
            <a:solidFill>
              <a:schemeClr val="bg1"/>
            </a:solidFill>
          </a:ln>
          <a:effectLst/>
        </c:spPr>
      </c:pivotFmt>
    </c:pivotFmts>
    <c:plotArea>
      <c:layout>
        <c:manualLayout>
          <c:layoutTarget val="inner"/>
          <c:xMode val="edge"/>
          <c:yMode val="edge"/>
          <c:x val="0.2296800087489064"/>
          <c:y val="0.25865522018081066"/>
          <c:w val="0.41147353455818025"/>
          <c:h val="0.68578922426363376"/>
        </c:manualLayout>
      </c:layout>
      <c:pieChart>
        <c:varyColors val="1"/>
        <c:ser>
          <c:idx val="0"/>
          <c:order val="0"/>
          <c:tx>
            <c:strRef>
              <c:f>'Sales performance Analysis'!$P$10</c:f>
              <c:strCache>
                <c:ptCount val="1"/>
                <c:pt idx="0">
                  <c:v>Total</c:v>
                </c:pt>
              </c:strCache>
            </c:strRef>
          </c:tx>
          <c:spPr>
            <a:solidFill>
              <a:schemeClr val="accent2"/>
            </a:solidFill>
            <a:ln>
              <a:solidFill>
                <a:schemeClr val="bg1"/>
              </a:solidFill>
            </a:ln>
          </c:spPr>
          <c:explosion val="1"/>
          <c:dPt>
            <c:idx val="0"/>
            <c:bubble3D val="0"/>
            <c:spPr>
              <a:solidFill>
                <a:schemeClr val="tx2">
                  <a:lumMod val="40000"/>
                  <a:lumOff val="60000"/>
                </a:schemeClr>
              </a:solidFill>
              <a:ln w="19050">
                <a:solidFill>
                  <a:schemeClr val="bg1"/>
                </a:solidFill>
              </a:ln>
              <a:effectLst/>
            </c:spPr>
            <c:extLst>
              <c:ext xmlns:c16="http://schemas.microsoft.com/office/drawing/2014/chart" uri="{C3380CC4-5D6E-409C-BE32-E72D297353CC}">
                <c16:uniqueId val="{00000001-0D02-4905-AE7C-FBD9DB923D3A}"/>
              </c:ext>
            </c:extLst>
          </c:dPt>
          <c:dPt>
            <c:idx val="1"/>
            <c:bubble3D val="0"/>
            <c:spPr>
              <a:solidFill>
                <a:schemeClr val="tx1"/>
              </a:solidFill>
              <a:ln w="19050">
                <a:solidFill>
                  <a:schemeClr val="bg1"/>
                </a:solidFill>
              </a:ln>
              <a:effectLst/>
            </c:spPr>
            <c:extLst>
              <c:ext xmlns:c16="http://schemas.microsoft.com/office/drawing/2014/chart" uri="{C3380CC4-5D6E-409C-BE32-E72D297353CC}">
                <c16:uniqueId val="{00000003-0D02-4905-AE7C-FBD9DB923D3A}"/>
              </c:ext>
            </c:extLst>
          </c:dPt>
          <c:dPt>
            <c:idx val="2"/>
            <c:bubble3D val="0"/>
            <c:spPr>
              <a:solidFill>
                <a:schemeClr val="tx2"/>
              </a:solidFill>
              <a:ln w="19050">
                <a:solidFill>
                  <a:schemeClr val="bg1"/>
                </a:solidFill>
              </a:ln>
              <a:effectLst/>
            </c:spPr>
            <c:extLst>
              <c:ext xmlns:c16="http://schemas.microsoft.com/office/drawing/2014/chart" uri="{C3380CC4-5D6E-409C-BE32-E72D297353CC}">
                <c16:uniqueId val="{00000005-0D02-4905-AE7C-FBD9DB923D3A}"/>
              </c:ext>
            </c:extLst>
          </c:dPt>
          <c:dPt>
            <c:idx val="3"/>
            <c:bubble3D val="0"/>
            <c:spPr>
              <a:solidFill>
                <a:schemeClr val="accent2"/>
              </a:solidFill>
              <a:ln w="19050">
                <a:solidFill>
                  <a:schemeClr val="bg1"/>
                </a:solidFill>
              </a:ln>
              <a:effectLst/>
            </c:spPr>
            <c:extLst>
              <c:ext xmlns:c16="http://schemas.microsoft.com/office/drawing/2014/chart" uri="{C3380CC4-5D6E-409C-BE32-E72D297353CC}">
                <c16:uniqueId val="{00000007-0D02-4905-AE7C-FBD9DB923D3A}"/>
              </c:ext>
            </c:extLst>
          </c:dPt>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 Analysis'!$O$11:$O$15</c:f>
              <c:strCache>
                <c:ptCount val="4"/>
                <c:pt idx="0">
                  <c:v>East</c:v>
                </c:pt>
                <c:pt idx="1">
                  <c:v>North</c:v>
                </c:pt>
                <c:pt idx="2">
                  <c:v>South</c:v>
                </c:pt>
                <c:pt idx="3">
                  <c:v>West</c:v>
                </c:pt>
              </c:strCache>
            </c:strRef>
          </c:cat>
          <c:val>
            <c:numRef>
              <c:f>'Sales performance Analysis'!$P$11:$P$15</c:f>
              <c:numCache>
                <c:formatCode>General</c:formatCode>
                <c:ptCount val="4"/>
                <c:pt idx="0">
                  <c:v>649400</c:v>
                </c:pt>
                <c:pt idx="1">
                  <c:v>1039800</c:v>
                </c:pt>
                <c:pt idx="2">
                  <c:v>527600</c:v>
                </c:pt>
                <c:pt idx="3">
                  <c:v>560800</c:v>
                </c:pt>
              </c:numCache>
            </c:numRef>
          </c:val>
          <c:extLst>
            <c:ext xmlns:c16="http://schemas.microsoft.com/office/drawing/2014/chart" uri="{C3380CC4-5D6E-409C-BE32-E72D297353CC}">
              <c16:uniqueId val="{00000008-0D02-4905-AE7C-FBD9DB923D3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7">
  <a:schemeClr val="accent4"/>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9.xml"/><Relationship Id="rId4"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4" Type="http://schemas.openxmlformats.org/officeDocument/2006/relationships/chart" Target="../charts/chart36.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4" Type="http://schemas.openxmlformats.org/officeDocument/2006/relationships/chart" Target="../charts/chart40.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 Id="rId4" Type="http://schemas.openxmlformats.org/officeDocument/2006/relationships/chart" Target="../charts/chart4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133350</xdr:colOff>
      <xdr:row>3</xdr:row>
      <xdr:rowOff>2295525</xdr:rowOff>
    </xdr:to>
    <xdr:graphicFrame macro="">
      <xdr:nvGraphicFramePr>
        <xdr:cNvPr id="2" name="Chart 1">
          <a:extLst>
            <a:ext uri="{FF2B5EF4-FFF2-40B4-BE49-F238E27FC236}">
              <a16:creationId xmlns:a16="http://schemas.microsoft.com/office/drawing/2014/main" id="{4F9C375A-73C4-6FFC-5318-B52F72131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257174</xdr:colOff>
      <xdr:row>0</xdr:row>
      <xdr:rowOff>66674</xdr:rowOff>
    </xdr:from>
    <xdr:to>
      <xdr:col>15</xdr:col>
      <xdr:colOff>1028699</xdr:colOff>
      <xdr:row>3</xdr:row>
      <xdr:rowOff>2362200</xdr:rowOff>
    </xdr:to>
    <xdr:graphicFrame macro="">
      <xdr:nvGraphicFramePr>
        <xdr:cNvPr id="3" name="Chart 2">
          <a:extLst>
            <a:ext uri="{FF2B5EF4-FFF2-40B4-BE49-F238E27FC236}">
              <a16:creationId xmlns:a16="http://schemas.microsoft.com/office/drawing/2014/main" id="{771DFCDA-9AA4-0847-0C3B-D07DA4FB2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2333625</xdr:rowOff>
    </xdr:from>
    <xdr:to>
      <xdr:col>15</xdr:col>
      <xdr:colOff>1057274</xdr:colOff>
      <xdr:row>4</xdr:row>
      <xdr:rowOff>1</xdr:rowOff>
    </xdr:to>
    <xdr:graphicFrame macro="">
      <xdr:nvGraphicFramePr>
        <xdr:cNvPr id="4" name="Chart 3">
          <a:extLst>
            <a:ext uri="{FF2B5EF4-FFF2-40B4-BE49-F238E27FC236}">
              <a16:creationId xmlns:a16="http://schemas.microsoft.com/office/drawing/2014/main" id="{5D1E02A3-5896-593A-9890-0A5F6E989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1066799</xdr:colOff>
      <xdr:row>3</xdr:row>
      <xdr:rowOff>1181100</xdr:rowOff>
    </xdr:from>
    <xdr:to>
      <xdr:col>20</xdr:col>
      <xdr:colOff>9524</xdr:colOff>
      <xdr:row>3</xdr:row>
      <xdr:rowOff>3438526</xdr:rowOff>
    </xdr:to>
    <mc:AlternateContent xmlns:mc="http://schemas.openxmlformats.org/markup-compatibility/2006" xmlns:a14="http://schemas.microsoft.com/office/drawing/2010/main">
      <mc:Choice Requires="a14">
        <xdr:graphicFrame macro="">
          <xdr:nvGraphicFramePr>
            <xdr:cNvPr id="8" name="Name">
              <a:extLst>
                <a:ext uri="{FF2B5EF4-FFF2-40B4-BE49-F238E27FC236}">
                  <a16:creationId xmlns:a16="http://schemas.microsoft.com/office/drawing/2014/main" id="{8F9A9790-8DEE-B9A7-A8FA-1AD41596F8B8}"/>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3477874" y="1752600"/>
              <a:ext cx="3914775" cy="2257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114300</xdr:colOff>
      <xdr:row>3</xdr:row>
      <xdr:rowOff>3495675</xdr:rowOff>
    </xdr:from>
    <xdr:to>
      <xdr:col>19</xdr:col>
      <xdr:colOff>885824</xdr:colOff>
      <xdr:row>5</xdr:row>
      <xdr:rowOff>180975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7DEC6307-3171-B632-32BB-B2833879577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611225" y="4067175"/>
              <a:ext cx="3152774" cy="2076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1190625</xdr:colOff>
      <xdr:row>0</xdr:row>
      <xdr:rowOff>66676</xdr:rowOff>
    </xdr:from>
    <xdr:to>
      <xdr:col>20</xdr:col>
      <xdr:colOff>19050</xdr:colOff>
      <xdr:row>3</xdr:row>
      <xdr:rowOff>962026</xdr:rowOff>
    </xdr:to>
    <mc:AlternateContent xmlns:mc="http://schemas.openxmlformats.org/markup-compatibility/2006" xmlns:a14="http://schemas.microsoft.com/office/drawing/2010/main">
      <mc:Choice Requires="a14">
        <xdr:graphicFrame macro="">
          <xdr:nvGraphicFramePr>
            <xdr:cNvPr id="10" name="Day">
              <a:extLst>
                <a:ext uri="{FF2B5EF4-FFF2-40B4-BE49-F238E27FC236}">
                  <a16:creationId xmlns:a16="http://schemas.microsoft.com/office/drawing/2014/main" id="{1284FC61-391D-B14F-A15E-36AD787E0E6C}"/>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2334875" y="66676"/>
              <a:ext cx="50673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581025</xdr:colOff>
      <xdr:row>8</xdr:row>
      <xdr:rowOff>38100</xdr:rowOff>
    </xdr:from>
    <xdr:to>
      <xdr:col>14</xdr:col>
      <xdr:colOff>85725</xdr:colOff>
      <xdr:row>23</xdr:row>
      <xdr:rowOff>19050</xdr:rowOff>
    </xdr:to>
    <xdr:sp macro="" textlink="">
      <xdr:nvSpPr>
        <xdr:cNvPr id="2" name="Rectangle: Rounded Corners 1">
          <a:extLst>
            <a:ext uri="{FF2B5EF4-FFF2-40B4-BE49-F238E27FC236}">
              <a16:creationId xmlns:a16="http://schemas.microsoft.com/office/drawing/2014/main" id="{360DF671-73A9-B7E5-FB09-29FE8B5FB854}"/>
            </a:ext>
          </a:extLst>
        </xdr:cNvPr>
        <xdr:cNvSpPr/>
      </xdr:nvSpPr>
      <xdr:spPr>
        <a:xfrm>
          <a:off x="2409825" y="1562100"/>
          <a:ext cx="6210300" cy="283845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161925</xdr:colOff>
      <xdr:row>8</xdr:row>
      <xdr:rowOff>57150</xdr:rowOff>
    </xdr:from>
    <xdr:to>
      <xdr:col>24</xdr:col>
      <xdr:colOff>276225</xdr:colOff>
      <xdr:row>23</xdr:row>
      <xdr:rowOff>38100</xdr:rowOff>
    </xdr:to>
    <xdr:sp macro="" textlink="">
      <xdr:nvSpPr>
        <xdr:cNvPr id="3" name="Rectangle: Rounded Corners 2">
          <a:extLst>
            <a:ext uri="{FF2B5EF4-FFF2-40B4-BE49-F238E27FC236}">
              <a16:creationId xmlns:a16="http://schemas.microsoft.com/office/drawing/2014/main" id="{0075C08F-9A05-4743-B8EE-913241FD805F}"/>
            </a:ext>
          </a:extLst>
        </xdr:cNvPr>
        <xdr:cNvSpPr/>
      </xdr:nvSpPr>
      <xdr:spPr>
        <a:xfrm>
          <a:off x="8696325" y="1581150"/>
          <a:ext cx="6210300" cy="2838450"/>
        </a:xfrm>
        <a:prstGeom prst="round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209550</xdr:colOff>
      <xdr:row>25</xdr:row>
      <xdr:rowOff>28575</xdr:rowOff>
    </xdr:from>
    <xdr:to>
      <xdr:col>24</xdr:col>
      <xdr:colOff>323850</xdr:colOff>
      <xdr:row>40</xdr:row>
      <xdr:rowOff>9525</xdr:rowOff>
    </xdr:to>
    <xdr:sp macro="" textlink="">
      <xdr:nvSpPr>
        <xdr:cNvPr id="5" name="Rectangle: Rounded Corners 4">
          <a:extLst>
            <a:ext uri="{FF2B5EF4-FFF2-40B4-BE49-F238E27FC236}">
              <a16:creationId xmlns:a16="http://schemas.microsoft.com/office/drawing/2014/main" id="{A828D2D0-1E17-46D9-B9D9-49AC6AB06DCF}"/>
            </a:ext>
          </a:extLst>
        </xdr:cNvPr>
        <xdr:cNvSpPr/>
      </xdr:nvSpPr>
      <xdr:spPr>
        <a:xfrm>
          <a:off x="8743950" y="4791075"/>
          <a:ext cx="6210300" cy="2838450"/>
        </a:xfrm>
        <a:prstGeom prst="round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600075</xdr:colOff>
      <xdr:row>25</xdr:row>
      <xdr:rowOff>28575</xdr:rowOff>
    </xdr:from>
    <xdr:to>
      <xdr:col>14</xdr:col>
      <xdr:colOff>104775</xdr:colOff>
      <xdr:row>40</xdr:row>
      <xdr:rowOff>9525</xdr:rowOff>
    </xdr:to>
    <xdr:sp macro="" textlink="">
      <xdr:nvSpPr>
        <xdr:cNvPr id="6" name="Rectangle: Rounded Corners 5">
          <a:extLst>
            <a:ext uri="{FF2B5EF4-FFF2-40B4-BE49-F238E27FC236}">
              <a16:creationId xmlns:a16="http://schemas.microsoft.com/office/drawing/2014/main" id="{A44FD132-60CF-4C3A-900E-9D3122C76276}"/>
            </a:ext>
          </a:extLst>
        </xdr:cNvPr>
        <xdr:cNvSpPr/>
      </xdr:nvSpPr>
      <xdr:spPr>
        <a:xfrm>
          <a:off x="2428875" y="4791075"/>
          <a:ext cx="6210300" cy="2838450"/>
        </a:xfrm>
        <a:prstGeom prst="round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66675</xdr:rowOff>
    </xdr:from>
    <xdr:to>
      <xdr:col>3</xdr:col>
      <xdr:colOff>457201</xdr:colOff>
      <xdr:row>41</xdr:row>
      <xdr:rowOff>9525</xdr:rowOff>
    </xdr:to>
    <xdr:sp macro="" textlink="">
      <xdr:nvSpPr>
        <xdr:cNvPr id="8" name="Rectangle: Rounded Corners 7">
          <a:extLst>
            <a:ext uri="{FF2B5EF4-FFF2-40B4-BE49-F238E27FC236}">
              <a16:creationId xmlns:a16="http://schemas.microsoft.com/office/drawing/2014/main" id="{3308B5B3-FF80-4507-AEFF-A6041FA8BBC6}"/>
            </a:ext>
          </a:extLst>
        </xdr:cNvPr>
        <xdr:cNvSpPr/>
      </xdr:nvSpPr>
      <xdr:spPr>
        <a:xfrm>
          <a:off x="1" y="66675"/>
          <a:ext cx="2286000" cy="775335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371475</xdr:colOff>
      <xdr:row>8</xdr:row>
      <xdr:rowOff>57150</xdr:rowOff>
    </xdr:from>
    <xdr:to>
      <xdr:col>28</xdr:col>
      <xdr:colOff>9525</xdr:colOff>
      <xdr:row>23</xdr:row>
      <xdr:rowOff>114300</xdr:rowOff>
    </xdr:to>
    <xdr:sp macro="" textlink="">
      <xdr:nvSpPr>
        <xdr:cNvPr id="11" name="Rectangle: Rounded Corners 10">
          <a:extLst>
            <a:ext uri="{FF2B5EF4-FFF2-40B4-BE49-F238E27FC236}">
              <a16:creationId xmlns:a16="http://schemas.microsoft.com/office/drawing/2014/main" id="{0804B9BE-A006-4238-A3E5-54C6D07BEE95}"/>
            </a:ext>
          </a:extLst>
        </xdr:cNvPr>
        <xdr:cNvSpPr/>
      </xdr:nvSpPr>
      <xdr:spPr>
        <a:xfrm>
          <a:off x="15001875" y="1581150"/>
          <a:ext cx="2076450" cy="291465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a:solidFill>
                <a:schemeClr val="tx1"/>
              </a:solidFill>
            </a:rPr>
            <a:t>Total_Revenue  </a:t>
          </a:r>
          <a:r>
            <a:rPr lang="en-US" sz="2800" b="1" i="1" u="none" strike="noStrike">
              <a:solidFill>
                <a:schemeClr val="tx1"/>
              </a:solidFill>
              <a:effectLst/>
              <a:latin typeface="+mn-lt"/>
              <a:ea typeface="+mn-ea"/>
              <a:cs typeface="+mn-cs"/>
            </a:rPr>
            <a:t>1568500</a:t>
          </a:r>
          <a:r>
            <a:rPr lang="en-US" sz="6600" b="1" i="1">
              <a:solidFill>
                <a:schemeClr val="tx1"/>
              </a:solidFill>
              <a:effectLst/>
            </a:rPr>
            <a:t> </a:t>
          </a:r>
          <a:endParaRPr lang="en-US" sz="4400" b="1" i="1">
            <a:solidFill>
              <a:schemeClr val="tx1"/>
            </a:solidFill>
          </a:endParaRPr>
        </a:p>
      </xdr:txBody>
    </xdr:sp>
    <xdr:clientData/>
  </xdr:twoCellAnchor>
  <xdr:twoCellAnchor>
    <xdr:from>
      <xdr:col>24</xdr:col>
      <xdr:colOff>438151</xdr:colOff>
      <xdr:row>24</xdr:row>
      <xdr:rowOff>57150</xdr:rowOff>
    </xdr:from>
    <xdr:to>
      <xdr:col>28</xdr:col>
      <xdr:colOff>66675</xdr:colOff>
      <xdr:row>39</xdr:row>
      <xdr:rowOff>133350</xdr:rowOff>
    </xdr:to>
    <xdr:sp macro="" textlink="">
      <xdr:nvSpPr>
        <xdr:cNvPr id="14" name="Rectangle: Rounded Corners 13">
          <a:extLst>
            <a:ext uri="{FF2B5EF4-FFF2-40B4-BE49-F238E27FC236}">
              <a16:creationId xmlns:a16="http://schemas.microsoft.com/office/drawing/2014/main" id="{577ED339-3148-4644-82A7-F1C702197893}"/>
            </a:ext>
          </a:extLst>
        </xdr:cNvPr>
        <xdr:cNvSpPr/>
      </xdr:nvSpPr>
      <xdr:spPr>
        <a:xfrm>
          <a:off x="15068551" y="4629150"/>
          <a:ext cx="2066924" cy="29337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1">
              <a:solidFill>
                <a:schemeClr val="tx1"/>
              </a:solidFill>
            </a:rPr>
            <a:t>Total_Quantity</a:t>
          </a:r>
          <a:endParaRPr lang="en-US" sz="1100" b="0" i="0" u="none" strike="noStrike">
            <a:solidFill>
              <a:schemeClr val="lt1"/>
            </a:solidFill>
            <a:effectLst/>
            <a:latin typeface="+mn-lt"/>
            <a:ea typeface="+mn-ea"/>
            <a:cs typeface="+mn-cs"/>
          </a:endParaRPr>
        </a:p>
        <a:p>
          <a:pPr algn="l"/>
          <a:endParaRPr lang="en-US" sz="1100" b="0" i="0" u="none" strike="noStrike">
            <a:solidFill>
              <a:schemeClr val="lt1"/>
            </a:solidFill>
            <a:effectLst/>
            <a:latin typeface="+mn-lt"/>
            <a:ea typeface="+mn-ea"/>
            <a:cs typeface="+mn-cs"/>
          </a:endParaRPr>
        </a:p>
        <a:p>
          <a:pPr algn="l"/>
          <a:endParaRPr lang="en-US" sz="1100" b="0" i="0" u="none" strike="noStrike">
            <a:solidFill>
              <a:schemeClr val="lt1"/>
            </a:solidFill>
            <a:effectLst/>
            <a:latin typeface="+mn-lt"/>
            <a:ea typeface="+mn-ea"/>
            <a:cs typeface="+mn-cs"/>
          </a:endParaRPr>
        </a:p>
        <a:p>
          <a:pPr algn="l"/>
          <a:endParaRPr lang="en-US" sz="1100" b="0" i="0" u="none" strike="noStrike">
            <a:solidFill>
              <a:schemeClr val="lt1"/>
            </a:solidFill>
            <a:effectLst/>
            <a:latin typeface="+mn-lt"/>
            <a:ea typeface="+mn-ea"/>
            <a:cs typeface="+mn-cs"/>
          </a:endParaRPr>
        </a:p>
        <a:p>
          <a:pPr algn="ctr"/>
          <a:r>
            <a:rPr lang="en-US" sz="4800" b="1" i="1" u="none" strike="noStrike">
              <a:solidFill>
                <a:schemeClr val="tx1"/>
              </a:solidFill>
              <a:effectLst/>
              <a:latin typeface="+mn-lt"/>
              <a:ea typeface="+mn-ea"/>
              <a:cs typeface="+mn-cs"/>
            </a:rPr>
            <a:t>46</a:t>
          </a:r>
          <a:endParaRPr lang="en-US" sz="8000" b="1" i="1" u="none" strike="noStrike">
            <a:solidFill>
              <a:schemeClr val="tx1"/>
            </a:solidFill>
            <a:effectLst/>
            <a:latin typeface="+mn-lt"/>
            <a:ea typeface="+mn-ea"/>
            <a:cs typeface="+mn-cs"/>
          </a:endParaRPr>
        </a:p>
        <a:p>
          <a:pPr algn="l"/>
          <a:endParaRPr lang="en-US" sz="2000" b="0" i="0" u="none" strike="noStrike">
            <a:solidFill>
              <a:schemeClr val="lt1"/>
            </a:solidFill>
            <a:effectLst/>
            <a:latin typeface="+mn-lt"/>
            <a:ea typeface="+mn-ea"/>
            <a:cs typeface="+mn-cs"/>
          </a:endParaRPr>
        </a:p>
        <a:p>
          <a:pPr algn="l"/>
          <a:endParaRPr lang="en-US" sz="2000" b="0" i="0" u="none" strike="noStrike">
            <a:solidFill>
              <a:schemeClr val="lt1"/>
            </a:solidFill>
            <a:effectLst/>
            <a:latin typeface="+mn-lt"/>
            <a:ea typeface="+mn-ea"/>
            <a:cs typeface="+mn-cs"/>
          </a:endParaRPr>
        </a:p>
        <a:p>
          <a:pPr algn="l"/>
          <a:endParaRPr lang="en-US" sz="2000" b="0" i="0" u="none" strike="noStrike">
            <a:solidFill>
              <a:schemeClr val="lt1"/>
            </a:solidFill>
            <a:effectLst/>
            <a:latin typeface="+mn-lt"/>
            <a:ea typeface="+mn-ea"/>
            <a:cs typeface="+mn-cs"/>
          </a:endParaRPr>
        </a:p>
        <a:p>
          <a:pPr algn="l"/>
          <a:endParaRPr lang="en-US" sz="2000" b="1" i="1">
            <a:solidFill>
              <a:schemeClr val="tx1"/>
            </a:solidFill>
          </a:endParaRPr>
        </a:p>
      </xdr:txBody>
    </xdr:sp>
    <xdr:clientData/>
  </xdr:twoCellAnchor>
  <xdr:twoCellAnchor>
    <xdr:from>
      <xdr:col>14</xdr:col>
      <xdr:colOff>485775</xdr:colOff>
      <xdr:row>25</xdr:row>
      <xdr:rowOff>66675</xdr:rowOff>
    </xdr:from>
    <xdr:to>
      <xdr:col>24</xdr:col>
      <xdr:colOff>76200</xdr:colOff>
      <xdr:row>39</xdr:row>
      <xdr:rowOff>142875</xdr:rowOff>
    </xdr:to>
    <xdr:graphicFrame macro="">
      <xdr:nvGraphicFramePr>
        <xdr:cNvPr id="16" name="Chart 15">
          <a:extLst>
            <a:ext uri="{FF2B5EF4-FFF2-40B4-BE49-F238E27FC236}">
              <a16:creationId xmlns:a16="http://schemas.microsoft.com/office/drawing/2014/main" id="{76BEADC0-B28A-4E89-9476-A264CE4F3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228599</xdr:colOff>
      <xdr:row>8</xdr:row>
      <xdr:rowOff>76200</xdr:rowOff>
    </xdr:from>
    <xdr:to>
      <xdr:col>13</xdr:col>
      <xdr:colOff>409574</xdr:colOff>
      <xdr:row>22</xdr:row>
      <xdr:rowOff>152400</xdr:rowOff>
    </xdr:to>
    <xdr:graphicFrame macro="">
      <xdr:nvGraphicFramePr>
        <xdr:cNvPr id="17" name="Chart 16">
          <a:extLst>
            <a:ext uri="{FF2B5EF4-FFF2-40B4-BE49-F238E27FC236}">
              <a16:creationId xmlns:a16="http://schemas.microsoft.com/office/drawing/2014/main" id="{16BDE0B4-41D3-4F7C-A679-1E5175F40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25</xdr:row>
      <xdr:rowOff>66675</xdr:rowOff>
    </xdr:from>
    <xdr:to>
      <xdr:col>13</xdr:col>
      <xdr:colOff>438150</xdr:colOff>
      <xdr:row>39</xdr:row>
      <xdr:rowOff>142875</xdr:rowOff>
    </xdr:to>
    <xdr:graphicFrame macro="">
      <xdr:nvGraphicFramePr>
        <xdr:cNvPr id="19" name="Chart 18">
          <a:extLst>
            <a:ext uri="{FF2B5EF4-FFF2-40B4-BE49-F238E27FC236}">
              <a16:creationId xmlns:a16="http://schemas.microsoft.com/office/drawing/2014/main" id="{80DFA989-C2E0-4826-997E-88F609540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438151</xdr:colOff>
      <xdr:row>8</xdr:row>
      <xdr:rowOff>161925</xdr:rowOff>
    </xdr:from>
    <xdr:to>
      <xdr:col>24</xdr:col>
      <xdr:colOff>19051</xdr:colOff>
      <xdr:row>22</xdr:row>
      <xdr:rowOff>180975</xdr:rowOff>
    </xdr:to>
    <xdr:graphicFrame macro="">
      <xdr:nvGraphicFramePr>
        <xdr:cNvPr id="21" name="Chart 20">
          <a:extLst>
            <a:ext uri="{FF2B5EF4-FFF2-40B4-BE49-F238E27FC236}">
              <a16:creationId xmlns:a16="http://schemas.microsoft.com/office/drawing/2014/main" id="{2EB90567-DE49-4EB4-B8F6-F06869B30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114300</xdr:colOff>
      <xdr:row>1</xdr:row>
      <xdr:rowOff>57150</xdr:rowOff>
    </xdr:from>
    <xdr:to>
      <xdr:col>3</xdr:col>
      <xdr:colOff>390524</xdr:colOff>
      <xdr:row>14</xdr:row>
      <xdr:rowOff>114300</xdr:rowOff>
    </xdr:to>
    <mc:AlternateContent xmlns:mc="http://schemas.openxmlformats.org/markup-compatibility/2006" xmlns:a14="http://schemas.microsoft.com/office/drawing/2010/main">
      <mc:Choice Requires="a14">
        <xdr:graphicFrame macro="">
          <xdr:nvGraphicFramePr>
            <xdr:cNvPr id="22" name="Customer_name 2">
              <a:extLst>
                <a:ext uri="{FF2B5EF4-FFF2-40B4-BE49-F238E27FC236}">
                  <a16:creationId xmlns:a16="http://schemas.microsoft.com/office/drawing/2014/main" id="{C9A7DE74-C678-F5BC-EAE7-0DA77879FE15}"/>
                </a:ext>
              </a:extLst>
            </xdr:cNvPr>
            <xdr:cNvGraphicFramePr/>
          </xdr:nvGraphicFramePr>
          <xdr:xfrm>
            <a:off x="0" y="0"/>
            <a:ext cx="0" cy="0"/>
          </xdr:xfrm>
          <a:graphic>
            <a:graphicData uri="http://schemas.microsoft.com/office/drawing/2010/slicer">
              <sle:slicer xmlns:sle="http://schemas.microsoft.com/office/drawing/2010/slicer" name="Customer_name 2"/>
            </a:graphicData>
          </a:graphic>
        </xdr:graphicFrame>
      </mc:Choice>
      <mc:Fallback xmlns="">
        <xdr:sp macro="" textlink="">
          <xdr:nvSpPr>
            <xdr:cNvPr id="0" name=""/>
            <xdr:cNvSpPr>
              <a:spLocks noTextEdit="1"/>
            </xdr:cNvSpPr>
          </xdr:nvSpPr>
          <xdr:spPr>
            <a:xfrm>
              <a:off x="114300" y="247650"/>
              <a:ext cx="2105024" cy="2533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14</xdr:row>
      <xdr:rowOff>104775</xdr:rowOff>
    </xdr:from>
    <xdr:to>
      <xdr:col>3</xdr:col>
      <xdr:colOff>371475</xdr:colOff>
      <xdr:row>23</xdr:row>
      <xdr:rowOff>57150</xdr:rowOff>
    </xdr:to>
    <mc:AlternateContent xmlns:mc="http://schemas.openxmlformats.org/markup-compatibility/2006" xmlns:a14="http://schemas.microsoft.com/office/drawing/2010/main">
      <mc:Choice Requires="a14">
        <xdr:graphicFrame macro="">
          <xdr:nvGraphicFramePr>
            <xdr:cNvPr id="23" name="country 2">
              <a:extLst>
                <a:ext uri="{FF2B5EF4-FFF2-40B4-BE49-F238E27FC236}">
                  <a16:creationId xmlns:a16="http://schemas.microsoft.com/office/drawing/2014/main" id="{57932E59-77FB-E951-9E78-1CA0B0447CB3}"/>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66675" y="2771775"/>
              <a:ext cx="2133600"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23</xdr:row>
      <xdr:rowOff>47626</xdr:rowOff>
    </xdr:from>
    <xdr:to>
      <xdr:col>3</xdr:col>
      <xdr:colOff>352425</xdr:colOff>
      <xdr:row>34</xdr:row>
      <xdr:rowOff>104776</xdr:rowOff>
    </xdr:to>
    <mc:AlternateContent xmlns:mc="http://schemas.openxmlformats.org/markup-compatibility/2006" xmlns:a14="http://schemas.microsoft.com/office/drawing/2010/main">
      <mc:Choice Requires="a14">
        <xdr:graphicFrame macro="">
          <xdr:nvGraphicFramePr>
            <xdr:cNvPr id="24" name="product_name,">
              <a:extLst>
                <a:ext uri="{FF2B5EF4-FFF2-40B4-BE49-F238E27FC236}">
                  <a16:creationId xmlns:a16="http://schemas.microsoft.com/office/drawing/2014/main" id="{96EC0A94-2641-FB95-B8E1-68EEA134E473}"/>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66675" y="4429126"/>
              <a:ext cx="2114550"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34</xdr:row>
      <xdr:rowOff>104775</xdr:rowOff>
    </xdr:from>
    <xdr:to>
      <xdr:col>3</xdr:col>
      <xdr:colOff>352425</xdr:colOff>
      <xdr:row>40</xdr:row>
      <xdr:rowOff>9525</xdr:rowOff>
    </xdr:to>
    <mc:AlternateContent xmlns:mc="http://schemas.openxmlformats.org/markup-compatibility/2006" xmlns:a14="http://schemas.microsoft.com/office/drawing/2010/main">
      <mc:Choice Requires="a14">
        <xdr:graphicFrame macro="">
          <xdr:nvGraphicFramePr>
            <xdr:cNvPr id="25" name="Months (order_date)">
              <a:extLst>
                <a:ext uri="{FF2B5EF4-FFF2-40B4-BE49-F238E27FC236}">
                  <a16:creationId xmlns:a16="http://schemas.microsoft.com/office/drawing/2014/main" id="{B39D9018-6804-E54F-81A4-7E73C2CA1792}"/>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66675" y="6581775"/>
              <a:ext cx="211455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40</xdr:row>
      <xdr:rowOff>0</xdr:rowOff>
    </xdr:from>
    <xdr:to>
      <xdr:col>16</xdr:col>
      <xdr:colOff>57150</xdr:colOff>
      <xdr:row>43</xdr:row>
      <xdr:rowOff>0</xdr:rowOff>
    </xdr:to>
    <xdr:sp macro="" textlink="">
      <xdr:nvSpPr>
        <xdr:cNvPr id="19457" name="Text Box 1">
          <a:extLst>
            <a:ext uri="{FF2B5EF4-FFF2-40B4-BE49-F238E27FC236}">
              <a16:creationId xmlns:a16="http://schemas.microsoft.com/office/drawing/2014/main" id="{A591C901-5D54-0195-5055-B31EB2C21A90}"/>
            </a:ext>
          </a:extLst>
        </xdr:cNvPr>
        <xdr:cNvSpPr txBox="1">
          <a:spLocks noChangeArrowheads="1"/>
        </xdr:cNvSpPr>
      </xdr:nvSpPr>
      <xdr:spPr bwMode="auto">
        <a:xfrm>
          <a:off x="9144000" y="7620000"/>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Calibri"/>
              <a:cs typeface="Calibri"/>
            </a:rPr>
            <a:t>Sales &amp; Revenue Analysis</a:t>
          </a:r>
        </a:p>
      </xdr:txBody>
    </xdr:sp>
    <xdr:clientData/>
  </xdr:twoCellAnchor>
  <xdr:twoCellAnchor>
    <xdr:from>
      <xdr:col>15</xdr:col>
      <xdr:colOff>0</xdr:colOff>
      <xdr:row>42</xdr:row>
      <xdr:rowOff>190499</xdr:rowOff>
    </xdr:from>
    <xdr:to>
      <xdr:col>16</xdr:col>
      <xdr:colOff>57150</xdr:colOff>
      <xdr:row>43</xdr:row>
      <xdr:rowOff>45718</xdr:rowOff>
    </xdr:to>
    <xdr:sp macro="" textlink="">
      <xdr:nvSpPr>
        <xdr:cNvPr id="19458" name="Text Box 2">
          <a:extLst>
            <a:ext uri="{FF2B5EF4-FFF2-40B4-BE49-F238E27FC236}">
              <a16:creationId xmlns:a16="http://schemas.microsoft.com/office/drawing/2014/main" id="{C23D0FD5-B236-5304-7D32-0ECE6C5E5D1A}"/>
            </a:ext>
          </a:extLst>
        </xdr:cNvPr>
        <xdr:cNvSpPr txBox="1">
          <a:spLocks noChangeArrowheads="1"/>
        </xdr:cNvSpPr>
      </xdr:nvSpPr>
      <xdr:spPr bwMode="auto">
        <a:xfrm flipV="1">
          <a:off x="9144000" y="8191499"/>
          <a:ext cx="666750" cy="45719"/>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Calibri"/>
            <a:cs typeface="Calibri"/>
          </a:endParaRPr>
        </a:p>
      </xdr:txBody>
    </xdr:sp>
    <xdr:clientData/>
  </xdr:twoCellAnchor>
  <xdr:twoCellAnchor>
    <xdr:from>
      <xdr:col>3</xdr:col>
      <xdr:colOff>447675</xdr:colOff>
      <xdr:row>0</xdr:row>
      <xdr:rowOff>38100</xdr:rowOff>
    </xdr:from>
    <xdr:to>
      <xdr:col>28</xdr:col>
      <xdr:colOff>133350</xdr:colOff>
      <xdr:row>7</xdr:row>
      <xdr:rowOff>142875</xdr:rowOff>
    </xdr:to>
    <xdr:sp macro="" textlink="">
      <xdr:nvSpPr>
        <xdr:cNvPr id="26" name="Rectangle: Rounded Corners 25">
          <a:extLst>
            <a:ext uri="{FF2B5EF4-FFF2-40B4-BE49-F238E27FC236}">
              <a16:creationId xmlns:a16="http://schemas.microsoft.com/office/drawing/2014/main" id="{77E8C0D1-4354-4623-B420-C1EAB1C39F7A}"/>
            </a:ext>
          </a:extLst>
        </xdr:cNvPr>
        <xdr:cNvSpPr/>
      </xdr:nvSpPr>
      <xdr:spPr>
        <a:xfrm>
          <a:off x="2276475" y="38100"/>
          <a:ext cx="14925675" cy="143827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1">
              <a:solidFill>
                <a:schemeClr val="tx1"/>
              </a:solidFill>
              <a:effectLst/>
            </a:rPr>
            <a:t>Sales</a:t>
          </a:r>
          <a:r>
            <a:rPr lang="en-US" sz="2800" b="1" i="1" baseline="0">
              <a:solidFill>
                <a:schemeClr val="tx1"/>
              </a:solidFill>
              <a:effectLst/>
            </a:rPr>
            <a:t> &amp; Revenue Analysis</a:t>
          </a:r>
          <a:r>
            <a:rPr lang="en-US" sz="8000" b="1" i="1">
              <a:solidFill>
                <a:schemeClr val="tx1"/>
              </a:solidFill>
              <a:effectLst/>
            </a:rPr>
            <a:t> </a:t>
          </a:r>
          <a:endParaRPr lang="en-US" sz="5400" b="1" i="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600074</xdr:colOff>
      <xdr:row>23</xdr:row>
      <xdr:rowOff>161925</xdr:rowOff>
    </xdr:from>
    <xdr:to>
      <xdr:col>20</xdr:col>
      <xdr:colOff>133349</xdr:colOff>
      <xdr:row>48</xdr:row>
      <xdr:rowOff>76200</xdr:rowOff>
    </xdr:to>
    <xdr:graphicFrame macro="">
      <xdr:nvGraphicFramePr>
        <xdr:cNvPr id="3" name="Chart 2">
          <a:extLst>
            <a:ext uri="{FF2B5EF4-FFF2-40B4-BE49-F238E27FC236}">
              <a16:creationId xmlns:a16="http://schemas.microsoft.com/office/drawing/2014/main" id="{487625C2-C07F-40BF-869E-4F0781A62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304799</xdr:colOff>
      <xdr:row>0</xdr:row>
      <xdr:rowOff>9524</xdr:rowOff>
    </xdr:from>
    <xdr:to>
      <xdr:col>21</xdr:col>
      <xdr:colOff>9525</xdr:colOff>
      <xdr:row>23</xdr:row>
      <xdr:rowOff>152399</xdr:rowOff>
    </xdr:to>
    <xdr:graphicFrame macro="">
      <xdr:nvGraphicFramePr>
        <xdr:cNvPr id="4" name="Chart 3">
          <a:extLst>
            <a:ext uri="{FF2B5EF4-FFF2-40B4-BE49-F238E27FC236}">
              <a16:creationId xmlns:a16="http://schemas.microsoft.com/office/drawing/2014/main" id="{004962AB-F896-4814-9E93-854CAE921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0</xdr:row>
      <xdr:rowOff>0</xdr:rowOff>
    </xdr:from>
    <xdr:to>
      <xdr:col>12</xdr:col>
      <xdr:colOff>361950</xdr:colOff>
      <xdr:row>23</xdr:row>
      <xdr:rowOff>161924</xdr:rowOff>
    </xdr:to>
    <xdr:graphicFrame macro="">
      <xdr:nvGraphicFramePr>
        <xdr:cNvPr id="5" name="Chart 4">
          <a:extLst>
            <a:ext uri="{FF2B5EF4-FFF2-40B4-BE49-F238E27FC236}">
              <a16:creationId xmlns:a16="http://schemas.microsoft.com/office/drawing/2014/main" id="{42C1271E-A8B3-4DFF-8BD6-B55FEA659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38100</xdr:colOff>
      <xdr:row>0</xdr:row>
      <xdr:rowOff>9526</xdr:rowOff>
    </xdr:from>
    <xdr:to>
      <xdr:col>29</xdr:col>
      <xdr:colOff>161926</xdr:colOff>
      <xdr:row>20</xdr:row>
      <xdr:rowOff>180976</xdr:rowOff>
    </xdr:to>
    <xdr:graphicFrame macro="">
      <xdr:nvGraphicFramePr>
        <xdr:cNvPr id="7" name="Chart 6">
          <a:extLst>
            <a:ext uri="{FF2B5EF4-FFF2-40B4-BE49-F238E27FC236}">
              <a16:creationId xmlns:a16="http://schemas.microsoft.com/office/drawing/2014/main" id="{E6FB6AE1-1389-46C6-96D4-B50E23EDB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190500</xdr:colOff>
      <xdr:row>21</xdr:row>
      <xdr:rowOff>66676</xdr:rowOff>
    </xdr:from>
    <xdr:to>
      <xdr:col>23</xdr:col>
      <xdr:colOff>190500</xdr:colOff>
      <xdr:row>37</xdr:row>
      <xdr:rowOff>38100</xdr:rowOff>
    </xdr:to>
    <mc:AlternateContent xmlns:mc="http://schemas.openxmlformats.org/markup-compatibility/2006" xmlns:a14="http://schemas.microsoft.com/office/drawing/2010/main">
      <mc:Choice Requires="a14">
        <xdr:graphicFrame macro="">
          <xdr:nvGraphicFramePr>
            <xdr:cNvPr id="8" name="CUSTOMER_NAME">
              <a:extLst>
                <a:ext uri="{FF2B5EF4-FFF2-40B4-BE49-F238E27FC236}">
                  <a16:creationId xmlns:a16="http://schemas.microsoft.com/office/drawing/2014/main" id="{A5AF5382-87B9-FC9E-765D-4FA89154FEBC}"/>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12382500" y="4067176"/>
              <a:ext cx="182880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180975</xdr:colOff>
      <xdr:row>21</xdr:row>
      <xdr:rowOff>47625</xdr:rowOff>
    </xdr:from>
    <xdr:to>
      <xdr:col>26</xdr:col>
      <xdr:colOff>180975</xdr:colOff>
      <xdr:row>36</xdr:row>
      <xdr:rowOff>180975</xdr:rowOff>
    </xdr:to>
    <mc:AlternateContent xmlns:mc="http://schemas.openxmlformats.org/markup-compatibility/2006" xmlns:a14="http://schemas.microsoft.com/office/drawing/2010/main">
      <mc:Choice Requires="a14">
        <xdr:graphicFrame macro="">
          <xdr:nvGraphicFramePr>
            <xdr:cNvPr id="10" name="product_name">
              <a:extLst>
                <a:ext uri="{FF2B5EF4-FFF2-40B4-BE49-F238E27FC236}">
                  <a16:creationId xmlns:a16="http://schemas.microsoft.com/office/drawing/2014/main" id="{72ED76ED-81AF-B46F-C736-65F35E75B6F0}"/>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4201775" y="4048125"/>
              <a:ext cx="1828800" cy="233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180975</xdr:colOff>
      <xdr:row>21</xdr:row>
      <xdr:rowOff>38101</xdr:rowOff>
    </xdr:from>
    <xdr:to>
      <xdr:col>29</xdr:col>
      <xdr:colOff>180975</xdr:colOff>
      <xdr:row>36</xdr:row>
      <xdr:rowOff>180975</xdr:rowOff>
    </xdr:to>
    <mc:AlternateContent xmlns:mc="http://schemas.openxmlformats.org/markup-compatibility/2006" xmlns:a14="http://schemas.microsoft.com/office/drawing/2010/main">
      <mc:Choice Requires="a14">
        <xdr:graphicFrame macro="">
          <xdr:nvGraphicFramePr>
            <xdr:cNvPr id="11" name="STATUS">
              <a:extLst>
                <a:ext uri="{FF2B5EF4-FFF2-40B4-BE49-F238E27FC236}">
                  <a16:creationId xmlns:a16="http://schemas.microsoft.com/office/drawing/2014/main" id="{9D8D647F-662E-A7FF-5767-E3C0582EBFB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6030575" y="4038601"/>
              <a:ext cx="18288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142875</xdr:colOff>
      <xdr:row>37</xdr:row>
      <xdr:rowOff>0</xdr:rowOff>
    </xdr:from>
    <xdr:to>
      <xdr:col>29</xdr:col>
      <xdr:colOff>133350</xdr:colOff>
      <xdr:row>48</xdr:row>
      <xdr:rowOff>28576</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0ACF5D5A-8C0A-DF29-1282-92D56D32A13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334875" y="7048500"/>
              <a:ext cx="5476875" cy="2124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9</xdr:col>
      <xdr:colOff>504825</xdr:colOff>
      <xdr:row>0</xdr:row>
      <xdr:rowOff>0</xdr:rowOff>
    </xdr:from>
    <xdr:to>
      <xdr:col>20</xdr:col>
      <xdr:colOff>352425</xdr:colOff>
      <xdr:row>19</xdr:row>
      <xdr:rowOff>95250</xdr:rowOff>
    </xdr:to>
    <xdr:graphicFrame macro="">
      <xdr:nvGraphicFramePr>
        <xdr:cNvPr id="2" name="Chart 1">
          <a:extLst>
            <a:ext uri="{FF2B5EF4-FFF2-40B4-BE49-F238E27FC236}">
              <a16:creationId xmlns:a16="http://schemas.microsoft.com/office/drawing/2014/main" id="{224F2A9E-E78D-4082-8326-CD1C13779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9525</xdr:rowOff>
    </xdr:from>
    <xdr:to>
      <xdr:col>9</xdr:col>
      <xdr:colOff>428625</xdr:colOff>
      <xdr:row>19</xdr:row>
      <xdr:rowOff>85724</xdr:rowOff>
    </xdr:to>
    <xdr:graphicFrame macro="">
      <xdr:nvGraphicFramePr>
        <xdr:cNvPr id="4" name="Chart 3">
          <a:extLst>
            <a:ext uri="{FF2B5EF4-FFF2-40B4-BE49-F238E27FC236}">
              <a16:creationId xmlns:a16="http://schemas.microsoft.com/office/drawing/2014/main" id="{DC848BE9-C166-4293-922B-010ADD4DD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104774</xdr:colOff>
      <xdr:row>19</xdr:row>
      <xdr:rowOff>95249</xdr:rowOff>
    </xdr:from>
    <xdr:to>
      <xdr:col>19</xdr:col>
      <xdr:colOff>561975</xdr:colOff>
      <xdr:row>44</xdr:row>
      <xdr:rowOff>47624</xdr:rowOff>
    </xdr:to>
    <xdr:graphicFrame macro="">
      <xdr:nvGraphicFramePr>
        <xdr:cNvPr id="5" name="Chart 4">
          <a:extLst>
            <a:ext uri="{FF2B5EF4-FFF2-40B4-BE49-F238E27FC236}">
              <a16:creationId xmlns:a16="http://schemas.microsoft.com/office/drawing/2014/main" id="{2C4EA3F5-6C6E-4C2E-8CE2-B988D6659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371475</xdr:colOff>
      <xdr:row>0</xdr:row>
      <xdr:rowOff>0</xdr:rowOff>
    </xdr:from>
    <xdr:to>
      <xdr:col>23</xdr:col>
      <xdr:colOff>352426</xdr:colOff>
      <xdr:row>20</xdr:row>
      <xdr:rowOff>47625</xdr:rowOff>
    </xdr:to>
    <mc:AlternateContent xmlns:mc="http://schemas.openxmlformats.org/markup-compatibility/2006" xmlns:a14="http://schemas.microsoft.com/office/drawing/2010/main">
      <mc:Choice Requires="a14">
        <xdr:graphicFrame macro="">
          <xdr:nvGraphicFramePr>
            <xdr:cNvPr id="6" name="name 2">
              <a:extLst>
                <a:ext uri="{FF2B5EF4-FFF2-40B4-BE49-F238E27FC236}">
                  <a16:creationId xmlns:a16="http://schemas.microsoft.com/office/drawing/2014/main" id="{E78208CC-84D6-E25C-D0FC-C23259F3C12B}"/>
                </a:ext>
              </a:extLst>
            </xdr:cNvPr>
            <xdr:cNvGraphicFramePr/>
          </xdr:nvGraphicFramePr>
          <xdr:xfrm>
            <a:off x="0" y="0"/>
            <a:ext cx="0" cy="0"/>
          </xdr:xfrm>
          <a:graphic>
            <a:graphicData uri="http://schemas.microsoft.com/office/drawing/2010/slicer">
              <sle:slicer xmlns:sle="http://schemas.microsoft.com/office/drawing/2010/slicer" name="name 2"/>
            </a:graphicData>
          </a:graphic>
        </xdr:graphicFrame>
      </mc:Choice>
      <mc:Fallback xmlns="">
        <xdr:sp macro="" textlink="">
          <xdr:nvSpPr>
            <xdr:cNvPr id="0" name=""/>
            <xdr:cNvSpPr>
              <a:spLocks noTextEdit="1"/>
            </xdr:cNvSpPr>
          </xdr:nvSpPr>
          <xdr:spPr>
            <a:xfrm>
              <a:off x="13696951" y="0"/>
              <a:ext cx="1676400" cy="3857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571502</xdr:colOff>
      <xdr:row>20</xdr:row>
      <xdr:rowOff>104776</xdr:rowOff>
    </xdr:from>
    <xdr:to>
      <xdr:col>26</xdr:col>
      <xdr:colOff>447676</xdr:colOff>
      <xdr:row>44</xdr:row>
      <xdr:rowOff>47626</xdr:rowOff>
    </xdr:to>
    <mc:AlternateContent xmlns:mc="http://schemas.openxmlformats.org/markup-compatibility/2006" xmlns:a14="http://schemas.microsoft.com/office/drawing/2010/main">
      <mc:Choice Requires="a14">
        <xdr:graphicFrame macro="">
          <xdr:nvGraphicFramePr>
            <xdr:cNvPr id="7" name="month 2">
              <a:extLst>
                <a:ext uri="{FF2B5EF4-FFF2-40B4-BE49-F238E27FC236}">
                  <a16:creationId xmlns:a16="http://schemas.microsoft.com/office/drawing/2014/main" id="{426636AF-B0AF-D8E7-2D07-39CAE74EE101}"/>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3154027" y="3914776"/>
              <a:ext cx="4143374" cy="451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400050</xdr:colOff>
      <xdr:row>0</xdr:row>
      <xdr:rowOff>9525</xdr:rowOff>
    </xdr:from>
    <xdr:to>
      <xdr:col>26</xdr:col>
      <xdr:colOff>400050</xdr:colOff>
      <xdr:row>20</xdr:row>
      <xdr:rowOff>95250</xdr:rowOff>
    </xdr:to>
    <mc:AlternateContent xmlns:mc="http://schemas.openxmlformats.org/markup-compatibility/2006" xmlns:a14="http://schemas.microsoft.com/office/drawing/2010/main">
      <mc:Choice Requires="a14">
        <xdr:graphicFrame macro="">
          <xdr:nvGraphicFramePr>
            <xdr:cNvPr id="8" name="day 2">
              <a:extLst>
                <a:ext uri="{FF2B5EF4-FFF2-40B4-BE49-F238E27FC236}">
                  <a16:creationId xmlns:a16="http://schemas.microsoft.com/office/drawing/2014/main" id="{DC773771-1416-68C7-E501-8030CBACF1EE}"/>
                </a:ext>
              </a:extLst>
            </xdr:cNvPr>
            <xdr:cNvGraphicFramePr/>
          </xdr:nvGraphicFramePr>
          <xdr:xfrm>
            <a:off x="0" y="0"/>
            <a:ext cx="0" cy="0"/>
          </xdr:xfrm>
          <a:graphic>
            <a:graphicData uri="http://schemas.microsoft.com/office/drawing/2010/slicer">
              <sle:slicer xmlns:sle="http://schemas.microsoft.com/office/drawing/2010/slicer" name="day 2"/>
            </a:graphicData>
          </a:graphic>
        </xdr:graphicFrame>
      </mc:Choice>
      <mc:Fallback xmlns="">
        <xdr:sp macro="" textlink="">
          <xdr:nvSpPr>
            <xdr:cNvPr id="0" name=""/>
            <xdr:cNvSpPr>
              <a:spLocks noTextEdit="1"/>
            </xdr:cNvSpPr>
          </xdr:nvSpPr>
          <xdr:spPr>
            <a:xfrm>
              <a:off x="15420975" y="9525"/>
              <a:ext cx="1828800" cy="3838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142875</xdr:colOff>
      <xdr:row>18</xdr:row>
      <xdr:rowOff>123824</xdr:rowOff>
    </xdr:to>
    <xdr:graphicFrame macro="">
      <xdr:nvGraphicFramePr>
        <xdr:cNvPr id="3" name="Chart 2">
          <a:extLst>
            <a:ext uri="{FF2B5EF4-FFF2-40B4-BE49-F238E27FC236}">
              <a16:creationId xmlns:a16="http://schemas.microsoft.com/office/drawing/2014/main" id="{DEC44865-143F-4D21-B566-2363DA6A4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114300</xdr:colOff>
      <xdr:row>0</xdr:row>
      <xdr:rowOff>1</xdr:rowOff>
    </xdr:from>
    <xdr:to>
      <xdr:col>20</xdr:col>
      <xdr:colOff>28575</xdr:colOff>
      <xdr:row>18</xdr:row>
      <xdr:rowOff>152401</xdr:rowOff>
    </xdr:to>
    <xdr:graphicFrame macro="">
      <xdr:nvGraphicFramePr>
        <xdr:cNvPr id="5" name="Chart 4">
          <a:extLst>
            <a:ext uri="{FF2B5EF4-FFF2-40B4-BE49-F238E27FC236}">
              <a16:creationId xmlns:a16="http://schemas.microsoft.com/office/drawing/2014/main" id="{001D0823-9BA1-40FA-80E4-62E75101B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190500</xdr:colOff>
      <xdr:row>18</xdr:row>
      <xdr:rowOff>142875</xdr:rowOff>
    </xdr:from>
    <xdr:to>
      <xdr:col>28</xdr:col>
      <xdr:colOff>257175</xdr:colOff>
      <xdr:row>38</xdr:row>
      <xdr:rowOff>123825</xdr:rowOff>
    </xdr:to>
    <xdr:graphicFrame macro="">
      <xdr:nvGraphicFramePr>
        <xdr:cNvPr id="6" name="Chart 5">
          <a:extLst>
            <a:ext uri="{FF2B5EF4-FFF2-40B4-BE49-F238E27FC236}">
              <a16:creationId xmlns:a16="http://schemas.microsoft.com/office/drawing/2014/main" id="{9C6FC982-B07D-48E8-823F-D9A494DCA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133350</xdr:rowOff>
    </xdr:from>
    <xdr:to>
      <xdr:col>9</xdr:col>
      <xdr:colOff>466725</xdr:colOff>
      <xdr:row>38</xdr:row>
      <xdr:rowOff>114300</xdr:rowOff>
    </xdr:to>
    <xdr:graphicFrame macro="">
      <xdr:nvGraphicFramePr>
        <xdr:cNvPr id="8" name="Chart 7">
          <a:extLst>
            <a:ext uri="{FF2B5EF4-FFF2-40B4-BE49-F238E27FC236}">
              <a16:creationId xmlns:a16="http://schemas.microsoft.com/office/drawing/2014/main" id="{D8BD82DC-6739-4B9A-8903-B86DBA42E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476250</xdr:colOff>
      <xdr:row>18</xdr:row>
      <xdr:rowOff>152399</xdr:rowOff>
    </xdr:from>
    <xdr:to>
      <xdr:col>20</xdr:col>
      <xdr:colOff>200025</xdr:colOff>
      <xdr:row>38</xdr:row>
      <xdr:rowOff>76198</xdr:rowOff>
    </xdr:to>
    <xdr:graphicFrame macro="">
      <xdr:nvGraphicFramePr>
        <xdr:cNvPr id="10" name="Chart 9">
          <a:extLst>
            <a:ext uri="{FF2B5EF4-FFF2-40B4-BE49-F238E27FC236}">
              <a16:creationId xmlns:a16="http://schemas.microsoft.com/office/drawing/2014/main" id="{04705036-3731-4008-B1F9-8E2118027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19050</xdr:colOff>
      <xdr:row>0</xdr:row>
      <xdr:rowOff>1</xdr:rowOff>
    </xdr:from>
    <xdr:to>
      <xdr:col>23</xdr:col>
      <xdr:colOff>19050</xdr:colOff>
      <xdr:row>11</xdr:row>
      <xdr:rowOff>76200</xdr:rowOff>
    </xdr:to>
    <mc:AlternateContent xmlns:mc="http://schemas.openxmlformats.org/markup-compatibility/2006" xmlns:a14="http://schemas.microsoft.com/office/drawing/2010/main">
      <mc:Choice Requires="a14">
        <xdr:graphicFrame macro="">
          <xdr:nvGraphicFramePr>
            <xdr:cNvPr id="11" name="customer_name 1">
              <a:extLst>
                <a:ext uri="{FF2B5EF4-FFF2-40B4-BE49-F238E27FC236}">
                  <a16:creationId xmlns:a16="http://schemas.microsoft.com/office/drawing/2014/main" id="{81E826D5-8322-B1FA-C03A-B65162F028EA}"/>
                </a:ext>
              </a:extLst>
            </xdr:cNvPr>
            <xdr:cNvGraphicFramePr/>
          </xdr:nvGraphicFramePr>
          <xdr:xfrm>
            <a:off x="0" y="0"/>
            <a:ext cx="0" cy="0"/>
          </xdr:xfrm>
          <a:graphic>
            <a:graphicData uri="http://schemas.microsoft.com/office/drawing/2010/slicer">
              <sle:slicer xmlns:sle="http://schemas.microsoft.com/office/drawing/2010/slicer" name="customer_name 1"/>
            </a:graphicData>
          </a:graphic>
        </xdr:graphicFrame>
      </mc:Choice>
      <mc:Fallback xmlns="">
        <xdr:sp macro="" textlink="">
          <xdr:nvSpPr>
            <xdr:cNvPr id="0" name=""/>
            <xdr:cNvSpPr>
              <a:spLocks noTextEdit="1"/>
            </xdr:cNvSpPr>
          </xdr:nvSpPr>
          <xdr:spPr>
            <a:xfrm>
              <a:off x="12211050" y="1"/>
              <a:ext cx="1828800" cy="2171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152399</xdr:colOff>
      <xdr:row>11</xdr:row>
      <xdr:rowOff>76200</xdr:rowOff>
    </xdr:from>
    <xdr:to>
      <xdr:col>28</xdr:col>
      <xdr:colOff>247650</xdr:colOff>
      <xdr:row>18</xdr:row>
      <xdr:rowOff>152399</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E79B5589-1E6B-F674-713F-68EEEE846E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782799" y="2171700"/>
              <a:ext cx="2533651" cy="1409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28574</xdr:colOff>
      <xdr:row>11</xdr:row>
      <xdr:rowOff>66675</xdr:rowOff>
    </xdr:from>
    <xdr:to>
      <xdr:col>24</xdr:col>
      <xdr:colOff>171449</xdr:colOff>
      <xdr:row>18</xdr:row>
      <xdr:rowOff>142875</xdr:rowOff>
    </xdr:to>
    <mc:AlternateContent xmlns:mc="http://schemas.openxmlformats.org/markup-compatibility/2006" xmlns:a14="http://schemas.microsoft.com/office/drawing/2010/main">
      <mc:Choice Requires="a14">
        <xdr:graphicFrame macro="">
          <xdr:nvGraphicFramePr>
            <xdr:cNvPr id="13" name="quantity">
              <a:extLst>
                <a:ext uri="{FF2B5EF4-FFF2-40B4-BE49-F238E27FC236}">
                  <a16:creationId xmlns:a16="http://schemas.microsoft.com/office/drawing/2014/main" id="{BE01DFAF-99FF-71F8-2B99-E9B814E66ADE}"/>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2220574" y="2162175"/>
              <a:ext cx="2581275"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381000</xdr:colOff>
      <xdr:row>0</xdr:row>
      <xdr:rowOff>0</xdr:rowOff>
    </xdr:from>
    <xdr:to>
      <xdr:col>28</xdr:col>
      <xdr:colOff>285750</xdr:colOff>
      <xdr:row>11</xdr:row>
      <xdr:rowOff>85725</xdr:rowOff>
    </xdr:to>
    <mc:AlternateContent xmlns:mc="http://schemas.openxmlformats.org/markup-compatibility/2006" xmlns:a14="http://schemas.microsoft.com/office/drawing/2010/main">
      <mc:Choice Requires="a14">
        <xdr:graphicFrame macro="">
          <xdr:nvGraphicFramePr>
            <xdr:cNvPr id="14" name="country 1">
              <a:extLst>
                <a:ext uri="{FF2B5EF4-FFF2-40B4-BE49-F238E27FC236}">
                  <a16:creationId xmlns:a16="http://schemas.microsoft.com/office/drawing/2014/main" id="{8ED73B80-34EA-DE6D-D232-8CFBB7C25E6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5621000" y="0"/>
              <a:ext cx="1733550" cy="2181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590551</xdr:colOff>
      <xdr:row>0</xdr:row>
      <xdr:rowOff>1</xdr:rowOff>
    </xdr:from>
    <xdr:to>
      <xdr:col>25</xdr:col>
      <xdr:colOff>400051</xdr:colOff>
      <xdr:row>11</xdr:row>
      <xdr:rowOff>76201</xdr:rowOff>
    </xdr:to>
    <mc:AlternateContent xmlns:mc="http://schemas.openxmlformats.org/markup-compatibility/2006" xmlns:a14="http://schemas.microsoft.com/office/drawing/2010/main">
      <mc:Choice Requires="a14">
        <xdr:graphicFrame macro="">
          <xdr:nvGraphicFramePr>
            <xdr:cNvPr id="15" name="order_date">
              <a:extLst>
                <a:ext uri="{FF2B5EF4-FFF2-40B4-BE49-F238E27FC236}">
                  <a16:creationId xmlns:a16="http://schemas.microsoft.com/office/drawing/2014/main" id="{842C0D3E-659D-1A98-1C8E-B991B6FB8825}"/>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4001751" y="1"/>
              <a:ext cx="163830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0</xdr:row>
      <xdr:rowOff>28575</xdr:rowOff>
    </xdr:from>
    <xdr:to>
      <xdr:col>8</xdr:col>
      <xdr:colOff>381000</xdr:colOff>
      <xdr:row>16</xdr:row>
      <xdr:rowOff>9525</xdr:rowOff>
    </xdr:to>
    <xdr:sp macro="" textlink="">
      <xdr:nvSpPr>
        <xdr:cNvPr id="4" name="Rectangle: Rounded Corners 3">
          <a:extLst>
            <a:ext uri="{FF2B5EF4-FFF2-40B4-BE49-F238E27FC236}">
              <a16:creationId xmlns:a16="http://schemas.microsoft.com/office/drawing/2014/main" id="{905AEDB6-BD4B-9CF8-0F51-A242869F4A5B}"/>
            </a:ext>
          </a:extLst>
        </xdr:cNvPr>
        <xdr:cNvSpPr/>
      </xdr:nvSpPr>
      <xdr:spPr>
        <a:xfrm>
          <a:off x="28575" y="28575"/>
          <a:ext cx="5229225" cy="3028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190499</xdr:colOff>
      <xdr:row>0</xdr:row>
      <xdr:rowOff>152400</xdr:rowOff>
    </xdr:from>
    <xdr:to>
      <xdr:col>8</xdr:col>
      <xdr:colOff>152400</xdr:colOff>
      <xdr:row>15</xdr:row>
      <xdr:rowOff>95250</xdr:rowOff>
    </xdr:to>
    <xdr:graphicFrame macro="">
      <xdr:nvGraphicFramePr>
        <xdr:cNvPr id="5" name="Chart 4">
          <a:extLst>
            <a:ext uri="{FF2B5EF4-FFF2-40B4-BE49-F238E27FC236}">
              <a16:creationId xmlns:a16="http://schemas.microsoft.com/office/drawing/2014/main" id="{14D1B7F6-BBD4-4005-AB38-FB2F9B1F7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76199</xdr:colOff>
      <xdr:row>16</xdr:row>
      <xdr:rowOff>76199</xdr:rowOff>
    </xdr:from>
    <xdr:to>
      <xdr:col>15</xdr:col>
      <xdr:colOff>28574</xdr:colOff>
      <xdr:row>38</xdr:row>
      <xdr:rowOff>66674</xdr:rowOff>
    </xdr:to>
    <xdr:sp macro="" textlink="">
      <xdr:nvSpPr>
        <xdr:cNvPr id="6" name="Rectangle: Rounded Corners 5">
          <a:extLst>
            <a:ext uri="{FF2B5EF4-FFF2-40B4-BE49-F238E27FC236}">
              <a16:creationId xmlns:a16="http://schemas.microsoft.com/office/drawing/2014/main" id="{AF7DEBEB-5A72-9EF9-955C-2AA03A96EE46}"/>
            </a:ext>
          </a:extLst>
        </xdr:cNvPr>
        <xdr:cNvSpPr/>
      </xdr:nvSpPr>
      <xdr:spPr>
        <a:xfrm>
          <a:off x="76199" y="3124199"/>
          <a:ext cx="9096375" cy="4181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142875</xdr:colOff>
      <xdr:row>16</xdr:row>
      <xdr:rowOff>57151</xdr:rowOff>
    </xdr:from>
    <xdr:to>
      <xdr:col>28</xdr:col>
      <xdr:colOff>142875</xdr:colOff>
      <xdr:row>38</xdr:row>
      <xdr:rowOff>104775</xdr:rowOff>
    </xdr:to>
    <xdr:sp macro="" textlink="">
      <xdr:nvSpPr>
        <xdr:cNvPr id="7" name="Rectangle: Rounded Corners 6">
          <a:extLst>
            <a:ext uri="{FF2B5EF4-FFF2-40B4-BE49-F238E27FC236}">
              <a16:creationId xmlns:a16="http://schemas.microsoft.com/office/drawing/2014/main" id="{703D3BEA-632B-0DB0-09BB-FC670120FEDC}"/>
            </a:ext>
          </a:extLst>
        </xdr:cNvPr>
        <xdr:cNvSpPr/>
      </xdr:nvSpPr>
      <xdr:spPr>
        <a:xfrm>
          <a:off x="9286875" y="3105151"/>
          <a:ext cx="7924800" cy="42386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361950</xdr:colOff>
      <xdr:row>0</xdr:row>
      <xdr:rowOff>66676</xdr:rowOff>
    </xdr:from>
    <xdr:to>
      <xdr:col>28</xdr:col>
      <xdr:colOff>133350</xdr:colOff>
      <xdr:row>16</xdr:row>
      <xdr:rowOff>9526</xdr:rowOff>
    </xdr:to>
    <xdr:sp macro="" textlink="">
      <xdr:nvSpPr>
        <xdr:cNvPr id="8" name="Rectangle: Rounded Corners 7">
          <a:extLst>
            <a:ext uri="{FF2B5EF4-FFF2-40B4-BE49-F238E27FC236}">
              <a16:creationId xmlns:a16="http://schemas.microsoft.com/office/drawing/2014/main" id="{2729350E-DD91-749F-F933-A666C740FC62}"/>
            </a:ext>
          </a:extLst>
        </xdr:cNvPr>
        <xdr:cNvSpPr/>
      </xdr:nvSpPr>
      <xdr:spPr>
        <a:xfrm>
          <a:off x="15601950" y="66676"/>
          <a:ext cx="1600200" cy="2990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523875</xdr:colOff>
      <xdr:row>0</xdr:row>
      <xdr:rowOff>104775</xdr:rowOff>
    </xdr:from>
    <xdr:to>
      <xdr:col>25</xdr:col>
      <xdr:colOff>295275</xdr:colOff>
      <xdr:row>16</xdr:row>
      <xdr:rowOff>0</xdr:rowOff>
    </xdr:to>
    <xdr:sp macro="" textlink="">
      <xdr:nvSpPr>
        <xdr:cNvPr id="10" name="Rectangle: Rounded Corners 9">
          <a:extLst>
            <a:ext uri="{FF2B5EF4-FFF2-40B4-BE49-F238E27FC236}">
              <a16:creationId xmlns:a16="http://schemas.microsoft.com/office/drawing/2014/main" id="{B9E621F1-36FC-41C8-9AE4-C6E43FCE8A39}"/>
            </a:ext>
          </a:extLst>
        </xdr:cNvPr>
        <xdr:cNvSpPr/>
      </xdr:nvSpPr>
      <xdr:spPr>
        <a:xfrm>
          <a:off x="13935075" y="104775"/>
          <a:ext cx="1600200" cy="2943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123825</xdr:colOff>
      <xdr:row>0</xdr:row>
      <xdr:rowOff>66675</xdr:rowOff>
    </xdr:from>
    <xdr:to>
      <xdr:col>22</xdr:col>
      <xdr:colOff>504825</xdr:colOff>
      <xdr:row>15</xdr:row>
      <xdr:rowOff>152400</xdr:rowOff>
    </xdr:to>
    <xdr:sp macro="" textlink="">
      <xdr:nvSpPr>
        <xdr:cNvPr id="11" name="Rectangle: Rounded Corners 10">
          <a:extLst>
            <a:ext uri="{FF2B5EF4-FFF2-40B4-BE49-F238E27FC236}">
              <a16:creationId xmlns:a16="http://schemas.microsoft.com/office/drawing/2014/main" id="{A1C3D4E8-9DFA-487B-AA29-E73ADE1230DC}"/>
            </a:ext>
          </a:extLst>
        </xdr:cNvPr>
        <xdr:cNvSpPr/>
      </xdr:nvSpPr>
      <xdr:spPr>
        <a:xfrm>
          <a:off x="12315825" y="66675"/>
          <a:ext cx="1600200" cy="2943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428625</xdr:colOff>
      <xdr:row>0</xdr:row>
      <xdr:rowOff>38100</xdr:rowOff>
    </xdr:from>
    <xdr:to>
      <xdr:col>19</xdr:col>
      <xdr:colOff>581025</xdr:colOff>
      <xdr:row>16</xdr:row>
      <xdr:rowOff>0</xdr:rowOff>
    </xdr:to>
    <xdr:sp macro="" textlink="">
      <xdr:nvSpPr>
        <xdr:cNvPr id="13" name="Rectangle: Rounded Corners 12">
          <a:extLst>
            <a:ext uri="{FF2B5EF4-FFF2-40B4-BE49-F238E27FC236}">
              <a16:creationId xmlns:a16="http://schemas.microsoft.com/office/drawing/2014/main" id="{6D328309-6C4B-48E5-B630-4666AE8BD4C8}"/>
            </a:ext>
          </a:extLst>
        </xdr:cNvPr>
        <xdr:cNvSpPr/>
      </xdr:nvSpPr>
      <xdr:spPr>
        <a:xfrm>
          <a:off x="5305425" y="38100"/>
          <a:ext cx="6858000" cy="3009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390525</xdr:colOff>
      <xdr:row>17</xdr:row>
      <xdr:rowOff>57150</xdr:rowOff>
    </xdr:from>
    <xdr:to>
      <xdr:col>27</xdr:col>
      <xdr:colOff>561975</xdr:colOff>
      <xdr:row>37</xdr:row>
      <xdr:rowOff>190499</xdr:rowOff>
    </xdr:to>
    <xdr:graphicFrame macro="">
      <xdr:nvGraphicFramePr>
        <xdr:cNvPr id="15" name="Chart 14">
          <a:extLst>
            <a:ext uri="{FF2B5EF4-FFF2-40B4-BE49-F238E27FC236}">
              <a16:creationId xmlns:a16="http://schemas.microsoft.com/office/drawing/2014/main" id="{6BC85265-A56A-4984-B2A3-29B209BE1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76199</xdr:colOff>
      <xdr:row>1</xdr:row>
      <xdr:rowOff>28575</xdr:rowOff>
    </xdr:from>
    <xdr:to>
      <xdr:col>19</xdr:col>
      <xdr:colOff>361950</xdr:colOff>
      <xdr:row>15</xdr:row>
      <xdr:rowOff>76200</xdr:rowOff>
    </xdr:to>
    <xdr:graphicFrame macro="">
      <xdr:nvGraphicFramePr>
        <xdr:cNvPr id="19" name="Chart 18">
          <a:extLst>
            <a:ext uri="{FF2B5EF4-FFF2-40B4-BE49-F238E27FC236}">
              <a16:creationId xmlns:a16="http://schemas.microsoft.com/office/drawing/2014/main" id="{E2793E63-D387-4085-A811-F058DB098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390526</xdr:colOff>
      <xdr:row>16</xdr:row>
      <xdr:rowOff>171450</xdr:rowOff>
    </xdr:from>
    <xdr:to>
      <xdr:col>14</xdr:col>
      <xdr:colOff>295275</xdr:colOff>
      <xdr:row>37</xdr:row>
      <xdr:rowOff>161926</xdr:rowOff>
    </xdr:to>
    <xdr:graphicFrame macro="">
      <xdr:nvGraphicFramePr>
        <xdr:cNvPr id="21" name="Chart 20">
          <a:extLst>
            <a:ext uri="{FF2B5EF4-FFF2-40B4-BE49-F238E27FC236}">
              <a16:creationId xmlns:a16="http://schemas.microsoft.com/office/drawing/2014/main" id="{FAA5BE30-D9DF-4A05-A78F-8E0FEEEEF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9525</xdr:colOff>
      <xdr:row>0</xdr:row>
      <xdr:rowOff>180975</xdr:rowOff>
    </xdr:from>
    <xdr:to>
      <xdr:col>25</xdr:col>
      <xdr:colOff>209550</xdr:colOff>
      <xdr:row>15</xdr:row>
      <xdr:rowOff>76200</xdr:rowOff>
    </xdr:to>
    <mc:AlternateContent xmlns:mc="http://schemas.openxmlformats.org/markup-compatibility/2006" xmlns:a14="http://schemas.microsoft.com/office/drawing/2010/main">
      <mc:Choice Requires="a14">
        <xdr:graphicFrame macro="">
          <xdr:nvGraphicFramePr>
            <xdr:cNvPr id="2" name="Name 3">
              <a:extLst>
                <a:ext uri="{FF2B5EF4-FFF2-40B4-BE49-F238E27FC236}">
                  <a16:creationId xmlns:a16="http://schemas.microsoft.com/office/drawing/2014/main" id="{CDE83175-B200-6236-B699-41545807A93E}"/>
                </a:ext>
              </a:extLst>
            </xdr:cNvPr>
            <xdr:cNvGraphicFramePr/>
          </xdr:nvGraphicFramePr>
          <xdr:xfrm>
            <a:off x="0" y="0"/>
            <a:ext cx="0" cy="0"/>
          </xdr:xfrm>
          <a:graphic>
            <a:graphicData uri="http://schemas.microsoft.com/office/drawing/2010/slicer">
              <sle:slicer xmlns:sle="http://schemas.microsoft.com/office/drawing/2010/slicer" name="Name 3"/>
            </a:graphicData>
          </a:graphic>
        </xdr:graphicFrame>
      </mc:Choice>
      <mc:Fallback xmlns="">
        <xdr:sp macro="" textlink="">
          <xdr:nvSpPr>
            <xdr:cNvPr id="0" name=""/>
            <xdr:cNvSpPr>
              <a:spLocks noTextEdit="1"/>
            </xdr:cNvSpPr>
          </xdr:nvSpPr>
          <xdr:spPr>
            <a:xfrm>
              <a:off x="14030325" y="180975"/>
              <a:ext cx="1419225" cy="2752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438151</xdr:colOff>
      <xdr:row>0</xdr:row>
      <xdr:rowOff>161926</xdr:rowOff>
    </xdr:from>
    <xdr:to>
      <xdr:col>28</xdr:col>
      <xdr:colOff>76201</xdr:colOff>
      <xdr:row>10</xdr:row>
      <xdr:rowOff>9526</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8AA1697B-EC2E-44F9-6FA5-69B8F42034E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678151" y="161926"/>
              <a:ext cx="146685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190500</xdr:colOff>
      <xdr:row>0</xdr:row>
      <xdr:rowOff>171451</xdr:rowOff>
    </xdr:from>
    <xdr:to>
      <xdr:col>22</xdr:col>
      <xdr:colOff>457200</xdr:colOff>
      <xdr:row>5</xdr:row>
      <xdr:rowOff>133351</xdr:rowOff>
    </xdr:to>
    <mc:AlternateContent xmlns:mc="http://schemas.openxmlformats.org/markup-compatibility/2006" xmlns:a14="http://schemas.microsoft.com/office/drawing/2010/main">
      <mc:Choice Requires="a14">
        <xdr:graphicFrame macro="">
          <xdr:nvGraphicFramePr>
            <xdr:cNvPr id="9" name="Bonus">
              <a:extLst>
                <a:ext uri="{FF2B5EF4-FFF2-40B4-BE49-F238E27FC236}">
                  <a16:creationId xmlns:a16="http://schemas.microsoft.com/office/drawing/2014/main" id="{EC429997-7585-6213-8D51-B606E64EE107}"/>
                </a:ext>
              </a:extLst>
            </xdr:cNvPr>
            <xdr:cNvGraphicFramePr/>
          </xdr:nvGraphicFramePr>
          <xdr:xfrm>
            <a:off x="0" y="0"/>
            <a:ext cx="0" cy="0"/>
          </xdr:xfrm>
          <a:graphic>
            <a:graphicData uri="http://schemas.microsoft.com/office/drawing/2010/slicer">
              <sle:slicer xmlns:sle="http://schemas.microsoft.com/office/drawing/2010/slicer" name="Bonus"/>
            </a:graphicData>
          </a:graphic>
        </xdr:graphicFrame>
      </mc:Choice>
      <mc:Fallback xmlns="">
        <xdr:sp macro="" textlink="">
          <xdr:nvSpPr>
            <xdr:cNvPr id="0" name=""/>
            <xdr:cNvSpPr>
              <a:spLocks noTextEdit="1"/>
            </xdr:cNvSpPr>
          </xdr:nvSpPr>
          <xdr:spPr>
            <a:xfrm>
              <a:off x="12382500" y="171451"/>
              <a:ext cx="14859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200025</xdr:colOff>
      <xdr:row>5</xdr:row>
      <xdr:rowOff>133350</xdr:rowOff>
    </xdr:from>
    <xdr:to>
      <xdr:col>22</xdr:col>
      <xdr:colOff>457200</xdr:colOff>
      <xdr:row>15</xdr:row>
      <xdr:rowOff>9525</xdr:rowOff>
    </xdr:to>
    <mc:AlternateContent xmlns:mc="http://schemas.openxmlformats.org/markup-compatibility/2006" xmlns:a14="http://schemas.microsoft.com/office/drawing/2010/main">
      <mc:Choice Requires="a14">
        <xdr:graphicFrame macro="">
          <xdr:nvGraphicFramePr>
            <xdr:cNvPr id="12" name="Hire_date">
              <a:extLst>
                <a:ext uri="{FF2B5EF4-FFF2-40B4-BE49-F238E27FC236}">
                  <a16:creationId xmlns:a16="http://schemas.microsoft.com/office/drawing/2014/main" id="{009FA94A-B7DF-77EB-ECFA-225D2A9E18BB}"/>
                </a:ext>
              </a:extLst>
            </xdr:cNvPr>
            <xdr:cNvGraphicFramePr/>
          </xdr:nvGraphicFramePr>
          <xdr:xfrm>
            <a:off x="0" y="0"/>
            <a:ext cx="0" cy="0"/>
          </xdr:xfrm>
          <a:graphic>
            <a:graphicData uri="http://schemas.microsoft.com/office/drawing/2010/slicer">
              <sle:slicer xmlns:sle="http://schemas.microsoft.com/office/drawing/2010/slicer" name="Hire_date"/>
            </a:graphicData>
          </a:graphic>
        </xdr:graphicFrame>
      </mc:Choice>
      <mc:Fallback xmlns="">
        <xdr:sp macro="" textlink="">
          <xdr:nvSpPr>
            <xdr:cNvPr id="0" name=""/>
            <xdr:cNvSpPr>
              <a:spLocks noTextEdit="1"/>
            </xdr:cNvSpPr>
          </xdr:nvSpPr>
          <xdr:spPr>
            <a:xfrm>
              <a:off x="12392025" y="1085850"/>
              <a:ext cx="1476375"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447676</xdr:colOff>
      <xdr:row>10</xdr:row>
      <xdr:rowOff>1</xdr:rowOff>
    </xdr:from>
    <xdr:to>
      <xdr:col>28</xdr:col>
      <xdr:colOff>85725</xdr:colOff>
      <xdr:row>15</xdr:row>
      <xdr:rowOff>95250</xdr:rowOff>
    </xdr:to>
    <mc:AlternateContent xmlns:mc="http://schemas.openxmlformats.org/markup-compatibility/2006" xmlns:a14="http://schemas.microsoft.com/office/drawing/2010/main">
      <mc:Choice Requires="a14">
        <xdr:graphicFrame macro="">
          <xdr:nvGraphicFramePr>
            <xdr:cNvPr id="14" name="Status 1">
              <a:extLst>
                <a:ext uri="{FF2B5EF4-FFF2-40B4-BE49-F238E27FC236}">
                  <a16:creationId xmlns:a16="http://schemas.microsoft.com/office/drawing/2014/main" id="{9A85D8D4-5295-4E20-A25F-CAC1250187A1}"/>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5687676" y="1905001"/>
              <a:ext cx="1466849" cy="104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28574</xdr:colOff>
      <xdr:row>16</xdr:row>
      <xdr:rowOff>47625</xdr:rowOff>
    </xdr:to>
    <xdr:sp macro="" textlink="">
      <xdr:nvSpPr>
        <xdr:cNvPr id="2" name="Rectangle: Rounded Corners 1">
          <a:extLst>
            <a:ext uri="{FF2B5EF4-FFF2-40B4-BE49-F238E27FC236}">
              <a16:creationId xmlns:a16="http://schemas.microsoft.com/office/drawing/2014/main" id="{BD04625C-6700-7D7D-4717-7D9573B1C40A}"/>
            </a:ext>
          </a:extLst>
        </xdr:cNvPr>
        <xdr:cNvSpPr/>
      </xdr:nvSpPr>
      <xdr:spPr>
        <a:xfrm>
          <a:off x="0" y="0"/>
          <a:ext cx="7953374" cy="3095625"/>
        </a:xfrm>
        <a:prstGeom prst="roundRect">
          <a:avLst/>
        </a:prstGeom>
        <a:solidFill>
          <a:schemeClr val="accent1">
            <a:lumMod val="60000"/>
            <a:lumOff val="4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17</xdr:row>
      <xdr:rowOff>9525</xdr:rowOff>
    </xdr:from>
    <xdr:to>
      <xdr:col>14</xdr:col>
      <xdr:colOff>295274</xdr:colOff>
      <xdr:row>38</xdr:row>
      <xdr:rowOff>19050</xdr:rowOff>
    </xdr:to>
    <xdr:sp macro="" textlink="">
      <xdr:nvSpPr>
        <xdr:cNvPr id="3" name="Rectangle: Rounded Corners 2">
          <a:extLst>
            <a:ext uri="{FF2B5EF4-FFF2-40B4-BE49-F238E27FC236}">
              <a16:creationId xmlns:a16="http://schemas.microsoft.com/office/drawing/2014/main" id="{940B286D-72DC-41CE-86A7-8999823E33D0}"/>
            </a:ext>
          </a:extLst>
        </xdr:cNvPr>
        <xdr:cNvSpPr/>
      </xdr:nvSpPr>
      <xdr:spPr>
        <a:xfrm>
          <a:off x="0" y="3248025"/>
          <a:ext cx="8829674" cy="4010025"/>
        </a:xfrm>
        <a:prstGeom prst="roundRect">
          <a:avLst/>
        </a:prstGeom>
        <a:solidFill>
          <a:schemeClr val="accent1">
            <a:lumMod val="60000"/>
            <a:lumOff val="4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400050</xdr:colOff>
      <xdr:row>17</xdr:row>
      <xdr:rowOff>9526</xdr:rowOff>
    </xdr:from>
    <xdr:to>
      <xdr:col>27</xdr:col>
      <xdr:colOff>361950</xdr:colOff>
      <xdr:row>38</xdr:row>
      <xdr:rowOff>19050</xdr:rowOff>
    </xdr:to>
    <xdr:sp macro="" textlink="">
      <xdr:nvSpPr>
        <xdr:cNvPr id="5" name="Rectangle: Rounded Corners 4">
          <a:extLst>
            <a:ext uri="{FF2B5EF4-FFF2-40B4-BE49-F238E27FC236}">
              <a16:creationId xmlns:a16="http://schemas.microsoft.com/office/drawing/2014/main" id="{75E5F718-6A91-4DCE-BCB5-68A4F439D575}"/>
            </a:ext>
          </a:extLst>
        </xdr:cNvPr>
        <xdr:cNvSpPr/>
      </xdr:nvSpPr>
      <xdr:spPr>
        <a:xfrm>
          <a:off x="8934450" y="3248026"/>
          <a:ext cx="7886700" cy="4010024"/>
        </a:xfrm>
        <a:prstGeom prst="roundRect">
          <a:avLst/>
        </a:prstGeom>
        <a:solidFill>
          <a:schemeClr val="accent1">
            <a:lumMod val="60000"/>
            <a:lumOff val="4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304799</xdr:colOff>
      <xdr:row>0</xdr:row>
      <xdr:rowOff>38101</xdr:rowOff>
    </xdr:from>
    <xdr:to>
      <xdr:col>28</xdr:col>
      <xdr:colOff>9524</xdr:colOff>
      <xdr:row>16</xdr:row>
      <xdr:rowOff>133351</xdr:rowOff>
    </xdr:to>
    <xdr:sp macro="" textlink="">
      <xdr:nvSpPr>
        <xdr:cNvPr id="6" name="Rectangle: Rounded Corners 5">
          <a:extLst>
            <a:ext uri="{FF2B5EF4-FFF2-40B4-BE49-F238E27FC236}">
              <a16:creationId xmlns:a16="http://schemas.microsoft.com/office/drawing/2014/main" id="{5BE919F9-95B0-B006-4FDF-AE0713B7B1D6}"/>
            </a:ext>
          </a:extLst>
        </xdr:cNvPr>
        <xdr:cNvSpPr/>
      </xdr:nvSpPr>
      <xdr:spPr>
        <a:xfrm>
          <a:off x="14935199" y="38101"/>
          <a:ext cx="2143125" cy="3143250"/>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466725</xdr:colOff>
      <xdr:row>0</xdr:row>
      <xdr:rowOff>19050</xdr:rowOff>
    </xdr:from>
    <xdr:to>
      <xdr:col>24</xdr:col>
      <xdr:colOff>171450</xdr:colOff>
      <xdr:row>16</xdr:row>
      <xdr:rowOff>114300</xdr:rowOff>
    </xdr:to>
    <xdr:sp macro="" textlink="">
      <xdr:nvSpPr>
        <xdr:cNvPr id="7" name="Rectangle: Rounded Corners 6">
          <a:extLst>
            <a:ext uri="{FF2B5EF4-FFF2-40B4-BE49-F238E27FC236}">
              <a16:creationId xmlns:a16="http://schemas.microsoft.com/office/drawing/2014/main" id="{CA735A95-5A60-41B1-A7DC-CA2E50B6AA67}"/>
            </a:ext>
          </a:extLst>
        </xdr:cNvPr>
        <xdr:cNvSpPr/>
      </xdr:nvSpPr>
      <xdr:spPr>
        <a:xfrm>
          <a:off x="12658725" y="19050"/>
          <a:ext cx="2143125" cy="3143250"/>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76200</xdr:colOff>
      <xdr:row>0</xdr:row>
      <xdr:rowOff>9525</xdr:rowOff>
    </xdr:from>
    <xdr:to>
      <xdr:col>20</xdr:col>
      <xdr:colOff>390525</xdr:colOff>
      <xdr:row>16</xdr:row>
      <xdr:rowOff>104775</xdr:rowOff>
    </xdr:to>
    <xdr:sp macro="" textlink="">
      <xdr:nvSpPr>
        <xdr:cNvPr id="8" name="Rectangle: Rounded Corners 7">
          <a:extLst>
            <a:ext uri="{FF2B5EF4-FFF2-40B4-BE49-F238E27FC236}">
              <a16:creationId xmlns:a16="http://schemas.microsoft.com/office/drawing/2014/main" id="{7F144A8C-9F19-41A9-AC4B-DFAD853FA258}"/>
            </a:ext>
          </a:extLst>
        </xdr:cNvPr>
        <xdr:cNvSpPr/>
      </xdr:nvSpPr>
      <xdr:spPr>
        <a:xfrm>
          <a:off x="10439400" y="9525"/>
          <a:ext cx="2143125" cy="3143250"/>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276225</xdr:colOff>
      <xdr:row>18</xdr:row>
      <xdr:rowOff>66675</xdr:rowOff>
    </xdr:from>
    <xdr:to>
      <xdr:col>14</xdr:col>
      <xdr:colOff>9525</xdr:colOff>
      <xdr:row>37</xdr:row>
      <xdr:rowOff>57150</xdr:rowOff>
    </xdr:to>
    <xdr:graphicFrame macro="">
      <xdr:nvGraphicFramePr>
        <xdr:cNvPr id="10" name="Chart 9">
          <a:extLst>
            <a:ext uri="{FF2B5EF4-FFF2-40B4-BE49-F238E27FC236}">
              <a16:creationId xmlns:a16="http://schemas.microsoft.com/office/drawing/2014/main" id="{DE509754-FE33-42E0-BAA9-FDCFA852F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161924</xdr:colOff>
      <xdr:row>17</xdr:row>
      <xdr:rowOff>142874</xdr:rowOff>
    </xdr:from>
    <xdr:to>
      <xdr:col>27</xdr:col>
      <xdr:colOff>95249</xdr:colOff>
      <xdr:row>37</xdr:row>
      <xdr:rowOff>152399</xdr:rowOff>
    </xdr:to>
    <xdr:graphicFrame macro="">
      <xdr:nvGraphicFramePr>
        <xdr:cNvPr id="12" name="Chart 11">
          <a:extLst>
            <a:ext uri="{FF2B5EF4-FFF2-40B4-BE49-F238E27FC236}">
              <a16:creationId xmlns:a16="http://schemas.microsoft.com/office/drawing/2014/main" id="{70B6A4FC-E4A4-4D21-8FD5-B59B8906F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0</xdr:row>
      <xdr:rowOff>161925</xdr:rowOff>
    </xdr:from>
    <xdr:to>
      <xdr:col>12</xdr:col>
      <xdr:colOff>476250</xdr:colOff>
      <xdr:row>14</xdr:row>
      <xdr:rowOff>161925</xdr:rowOff>
    </xdr:to>
    <xdr:graphicFrame macro="">
      <xdr:nvGraphicFramePr>
        <xdr:cNvPr id="14" name="Chart 13">
          <a:extLst>
            <a:ext uri="{FF2B5EF4-FFF2-40B4-BE49-F238E27FC236}">
              <a16:creationId xmlns:a16="http://schemas.microsoft.com/office/drawing/2014/main" id="{63E138A0-E9FD-4332-BE71-F8DAD8FC0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476250</xdr:colOff>
      <xdr:row>0</xdr:row>
      <xdr:rowOff>114300</xdr:rowOff>
    </xdr:from>
    <xdr:to>
      <xdr:col>27</xdr:col>
      <xdr:colOff>476250</xdr:colOff>
      <xdr:row>16</xdr:row>
      <xdr:rowOff>38100</xdr:rowOff>
    </xdr:to>
    <mc:AlternateContent xmlns:mc="http://schemas.openxmlformats.org/markup-compatibility/2006" xmlns:a14="http://schemas.microsoft.com/office/drawing/2010/main">
      <mc:Choice Requires="a14">
        <xdr:graphicFrame macro="">
          <xdr:nvGraphicFramePr>
            <xdr:cNvPr id="15" name="txn_type">
              <a:extLst>
                <a:ext uri="{FF2B5EF4-FFF2-40B4-BE49-F238E27FC236}">
                  <a16:creationId xmlns:a16="http://schemas.microsoft.com/office/drawing/2014/main" id="{77437ECD-ADCA-FE22-9BC5-67521CE528C2}"/>
                </a:ext>
              </a:extLst>
            </xdr:cNvPr>
            <xdr:cNvGraphicFramePr/>
          </xdr:nvGraphicFramePr>
          <xdr:xfrm>
            <a:off x="0" y="0"/>
            <a:ext cx="0" cy="0"/>
          </xdr:xfrm>
          <a:graphic>
            <a:graphicData uri="http://schemas.microsoft.com/office/drawing/2010/slicer">
              <sle:slicer xmlns:sle="http://schemas.microsoft.com/office/drawing/2010/slicer" name="txn_type"/>
            </a:graphicData>
          </a:graphic>
        </xdr:graphicFrame>
      </mc:Choice>
      <mc:Fallback xmlns="">
        <xdr:sp macro="" textlink="">
          <xdr:nvSpPr>
            <xdr:cNvPr id="0" name=""/>
            <xdr:cNvSpPr>
              <a:spLocks noTextEdit="1"/>
            </xdr:cNvSpPr>
          </xdr:nvSpPr>
          <xdr:spPr>
            <a:xfrm>
              <a:off x="15106650" y="114300"/>
              <a:ext cx="182880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238125</xdr:colOff>
      <xdr:row>0</xdr:row>
      <xdr:rowOff>76200</xdr:rowOff>
    </xdr:from>
    <xdr:to>
      <xdr:col>20</xdr:col>
      <xdr:colOff>238125</xdr:colOff>
      <xdr:row>16</xdr:row>
      <xdr:rowOff>0</xdr:rowOff>
    </xdr:to>
    <mc:AlternateContent xmlns:mc="http://schemas.openxmlformats.org/markup-compatibility/2006" xmlns:a14="http://schemas.microsoft.com/office/drawing/2010/main">
      <mc:Choice Requires="a14">
        <xdr:graphicFrame macro="">
          <xdr:nvGraphicFramePr>
            <xdr:cNvPr id="16" name="txn_date">
              <a:extLst>
                <a:ext uri="{FF2B5EF4-FFF2-40B4-BE49-F238E27FC236}">
                  <a16:creationId xmlns:a16="http://schemas.microsoft.com/office/drawing/2014/main" id="{B58DE528-D260-B782-18B9-051195EFF92C}"/>
                </a:ext>
              </a:extLst>
            </xdr:cNvPr>
            <xdr:cNvGraphicFramePr/>
          </xdr:nvGraphicFramePr>
          <xdr:xfrm>
            <a:off x="0" y="0"/>
            <a:ext cx="0" cy="0"/>
          </xdr:xfrm>
          <a:graphic>
            <a:graphicData uri="http://schemas.microsoft.com/office/drawing/2010/slicer">
              <sle:slicer xmlns:sle="http://schemas.microsoft.com/office/drawing/2010/slicer" name="txn_date"/>
            </a:graphicData>
          </a:graphic>
        </xdr:graphicFrame>
      </mc:Choice>
      <mc:Fallback xmlns="">
        <xdr:sp macro="" textlink="">
          <xdr:nvSpPr>
            <xdr:cNvPr id="0" name=""/>
            <xdr:cNvSpPr>
              <a:spLocks noTextEdit="1"/>
            </xdr:cNvSpPr>
          </xdr:nvSpPr>
          <xdr:spPr>
            <a:xfrm>
              <a:off x="10601325" y="76200"/>
              <a:ext cx="182880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19050</xdr:colOff>
      <xdr:row>0</xdr:row>
      <xdr:rowOff>114300</xdr:rowOff>
    </xdr:from>
    <xdr:to>
      <xdr:col>24</xdr:col>
      <xdr:colOff>19050</xdr:colOff>
      <xdr:row>16</xdr:row>
      <xdr:rowOff>38100</xdr:rowOff>
    </xdr:to>
    <mc:AlternateContent xmlns:mc="http://schemas.openxmlformats.org/markup-compatibility/2006" xmlns:a14="http://schemas.microsoft.com/office/drawing/2010/main">
      <mc:Choice Requires="a14">
        <xdr:graphicFrame macro="">
          <xdr:nvGraphicFramePr>
            <xdr:cNvPr id="17" name="txn_id">
              <a:extLst>
                <a:ext uri="{FF2B5EF4-FFF2-40B4-BE49-F238E27FC236}">
                  <a16:creationId xmlns:a16="http://schemas.microsoft.com/office/drawing/2014/main" id="{857EB1D6-A8BC-8C5A-6B4D-4564EB1B96F8}"/>
                </a:ext>
              </a:extLst>
            </xdr:cNvPr>
            <xdr:cNvGraphicFramePr/>
          </xdr:nvGraphicFramePr>
          <xdr:xfrm>
            <a:off x="0" y="0"/>
            <a:ext cx="0" cy="0"/>
          </xdr:xfrm>
          <a:graphic>
            <a:graphicData uri="http://schemas.microsoft.com/office/drawing/2010/slicer">
              <sle:slicer xmlns:sle="http://schemas.microsoft.com/office/drawing/2010/slicer" name="txn_id"/>
            </a:graphicData>
          </a:graphic>
        </xdr:graphicFrame>
      </mc:Choice>
      <mc:Fallback xmlns="">
        <xdr:sp macro="" textlink="">
          <xdr:nvSpPr>
            <xdr:cNvPr id="0" name=""/>
            <xdr:cNvSpPr>
              <a:spLocks noTextEdit="1"/>
            </xdr:cNvSpPr>
          </xdr:nvSpPr>
          <xdr:spPr>
            <a:xfrm>
              <a:off x="12820650" y="114300"/>
              <a:ext cx="182880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85725</xdr:colOff>
      <xdr:row>0</xdr:row>
      <xdr:rowOff>95251</xdr:rowOff>
    </xdr:from>
    <xdr:ext cx="2200275" cy="685800"/>
    <xdr:sp macro="" textlink="">
      <xdr:nvSpPr>
        <xdr:cNvPr id="18" name="TextBox 17">
          <a:extLst>
            <a:ext uri="{FF2B5EF4-FFF2-40B4-BE49-F238E27FC236}">
              <a16:creationId xmlns:a16="http://schemas.microsoft.com/office/drawing/2014/main" id="{B95F0626-5BF7-AE98-7534-70428997682D}"/>
            </a:ext>
          </a:extLst>
        </xdr:cNvPr>
        <xdr:cNvSpPr txBox="1"/>
      </xdr:nvSpPr>
      <xdr:spPr>
        <a:xfrm>
          <a:off x="8010525" y="95251"/>
          <a:ext cx="2200275" cy="6858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lvl="0" algn="ctr"/>
          <a:r>
            <a:rPr lang="en-US" sz="3200" b="1" i="1"/>
            <a:t>454000</a:t>
          </a:r>
          <a:r>
            <a:rPr lang="en-US" sz="3200"/>
            <a:t>    </a:t>
          </a:r>
          <a:r>
            <a:rPr lang="en-US" sz="1100"/>
            <a:t>                      </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180975</xdr:colOff>
      <xdr:row>7</xdr:row>
      <xdr:rowOff>47624</xdr:rowOff>
    </xdr:from>
    <xdr:to>
      <xdr:col>12</xdr:col>
      <xdr:colOff>285750</xdr:colOff>
      <xdr:row>22</xdr:row>
      <xdr:rowOff>171450</xdr:rowOff>
    </xdr:to>
    <xdr:sp macro="" textlink="">
      <xdr:nvSpPr>
        <xdr:cNvPr id="2" name="Rectangle: Rounded Corners 1">
          <a:extLst>
            <a:ext uri="{FF2B5EF4-FFF2-40B4-BE49-F238E27FC236}">
              <a16:creationId xmlns:a16="http://schemas.microsoft.com/office/drawing/2014/main" id="{324DF85E-34C2-4B11-12C5-ADECD87C0571}"/>
            </a:ext>
          </a:extLst>
        </xdr:cNvPr>
        <xdr:cNvSpPr/>
      </xdr:nvSpPr>
      <xdr:spPr>
        <a:xfrm>
          <a:off x="180975" y="1381124"/>
          <a:ext cx="7419975" cy="2981326"/>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104776</xdr:colOff>
      <xdr:row>23</xdr:row>
      <xdr:rowOff>19050</xdr:rowOff>
    </xdr:from>
    <xdr:to>
      <xdr:col>12</xdr:col>
      <xdr:colOff>561976</xdr:colOff>
      <xdr:row>41</xdr:row>
      <xdr:rowOff>66676</xdr:rowOff>
    </xdr:to>
    <xdr:sp macro="" textlink="">
      <xdr:nvSpPr>
        <xdr:cNvPr id="4" name="Rectangle: Rounded Corners 3">
          <a:extLst>
            <a:ext uri="{FF2B5EF4-FFF2-40B4-BE49-F238E27FC236}">
              <a16:creationId xmlns:a16="http://schemas.microsoft.com/office/drawing/2014/main" id="{2F65DC3B-6BFD-408C-8C1E-4A07B977F7CE}"/>
            </a:ext>
          </a:extLst>
        </xdr:cNvPr>
        <xdr:cNvSpPr/>
      </xdr:nvSpPr>
      <xdr:spPr>
        <a:xfrm>
          <a:off x="104776" y="4400550"/>
          <a:ext cx="7772400" cy="3476626"/>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590550</xdr:colOff>
      <xdr:row>20</xdr:row>
      <xdr:rowOff>85725</xdr:rowOff>
    </xdr:from>
    <xdr:to>
      <xdr:col>24</xdr:col>
      <xdr:colOff>219075</xdr:colOff>
      <xdr:row>41</xdr:row>
      <xdr:rowOff>38100</xdr:rowOff>
    </xdr:to>
    <xdr:sp macro="" textlink="">
      <xdr:nvSpPr>
        <xdr:cNvPr id="5" name="Rectangle: Rounded Corners 4">
          <a:extLst>
            <a:ext uri="{FF2B5EF4-FFF2-40B4-BE49-F238E27FC236}">
              <a16:creationId xmlns:a16="http://schemas.microsoft.com/office/drawing/2014/main" id="{9F379737-64AA-4FB1-AD46-C4BAF41C372E}"/>
            </a:ext>
          </a:extLst>
        </xdr:cNvPr>
        <xdr:cNvSpPr/>
      </xdr:nvSpPr>
      <xdr:spPr>
        <a:xfrm>
          <a:off x="7905750" y="3895725"/>
          <a:ext cx="6943725" cy="3952875"/>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390526</xdr:colOff>
      <xdr:row>0</xdr:row>
      <xdr:rowOff>142875</xdr:rowOff>
    </xdr:from>
    <xdr:to>
      <xdr:col>28</xdr:col>
      <xdr:colOff>104776</xdr:colOff>
      <xdr:row>41</xdr:row>
      <xdr:rowOff>57150</xdr:rowOff>
    </xdr:to>
    <xdr:sp macro="" textlink="">
      <xdr:nvSpPr>
        <xdr:cNvPr id="6" name="Rectangle: Rounded Corners 5">
          <a:extLst>
            <a:ext uri="{FF2B5EF4-FFF2-40B4-BE49-F238E27FC236}">
              <a16:creationId xmlns:a16="http://schemas.microsoft.com/office/drawing/2014/main" id="{3AFB9FA2-5419-4142-9AC9-67E324D8CF02}"/>
            </a:ext>
          </a:extLst>
        </xdr:cNvPr>
        <xdr:cNvSpPr/>
      </xdr:nvSpPr>
      <xdr:spPr>
        <a:xfrm>
          <a:off x="15020926" y="142875"/>
          <a:ext cx="2152650" cy="772477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0</xdr:row>
      <xdr:rowOff>76201</xdr:rowOff>
    </xdr:from>
    <xdr:to>
      <xdr:col>24</xdr:col>
      <xdr:colOff>276225</xdr:colOff>
      <xdr:row>7</xdr:row>
      <xdr:rowOff>57151</xdr:rowOff>
    </xdr:to>
    <xdr:sp macro="" textlink="">
      <xdr:nvSpPr>
        <xdr:cNvPr id="8" name="Rectangle: Rounded Corners 7">
          <a:extLst>
            <a:ext uri="{FF2B5EF4-FFF2-40B4-BE49-F238E27FC236}">
              <a16:creationId xmlns:a16="http://schemas.microsoft.com/office/drawing/2014/main" id="{A55743AE-A7F8-423E-BE9F-49D6C63B9C40}"/>
            </a:ext>
          </a:extLst>
        </xdr:cNvPr>
        <xdr:cNvSpPr/>
      </xdr:nvSpPr>
      <xdr:spPr>
        <a:xfrm>
          <a:off x="28575" y="76201"/>
          <a:ext cx="14878050" cy="131445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000" b="1" i="1">
              <a:solidFill>
                <a:schemeClr val="tx1"/>
              </a:solidFill>
            </a:rPr>
            <a:t>Education/Student DashBorads</a:t>
          </a:r>
        </a:p>
      </xdr:txBody>
    </xdr:sp>
    <xdr:clientData/>
  </xdr:twoCellAnchor>
  <xdr:twoCellAnchor>
    <xdr:from>
      <xdr:col>12</xdr:col>
      <xdr:colOff>390525</xdr:colOff>
      <xdr:row>7</xdr:row>
      <xdr:rowOff>133351</xdr:rowOff>
    </xdr:from>
    <xdr:to>
      <xdr:col>18</xdr:col>
      <xdr:colOff>304800</xdr:colOff>
      <xdr:row>20</xdr:row>
      <xdr:rowOff>1</xdr:rowOff>
    </xdr:to>
    <xdr:sp macro="" textlink="">
      <xdr:nvSpPr>
        <xdr:cNvPr id="9" name="Rectangle: Rounded Corners 8">
          <a:extLst>
            <a:ext uri="{FF2B5EF4-FFF2-40B4-BE49-F238E27FC236}">
              <a16:creationId xmlns:a16="http://schemas.microsoft.com/office/drawing/2014/main" id="{8A86C3CE-0DA7-4829-BAAC-8C2BCE4B2127}"/>
            </a:ext>
          </a:extLst>
        </xdr:cNvPr>
        <xdr:cNvSpPr/>
      </xdr:nvSpPr>
      <xdr:spPr>
        <a:xfrm>
          <a:off x="7705725" y="1466851"/>
          <a:ext cx="3571875" cy="234315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a:solidFill>
                <a:schemeClr val="bg1"/>
              </a:solidFill>
            </a:rPr>
            <a:t>Pass Percentage </a:t>
          </a:r>
        </a:p>
        <a:p>
          <a:pPr algn="ctr"/>
          <a:endParaRPr lang="en-US" sz="3200" b="1" i="1">
            <a:solidFill>
              <a:schemeClr val="bg1"/>
            </a:solidFill>
          </a:endParaRPr>
        </a:p>
        <a:p>
          <a:pPr algn="ctr"/>
          <a:r>
            <a:rPr lang="en-US" sz="3200" b="1" i="1">
              <a:solidFill>
                <a:schemeClr val="bg1"/>
              </a:solidFill>
            </a:rPr>
            <a:t>100</a:t>
          </a:r>
        </a:p>
      </xdr:txBody>
    </xdr:sp>
    <xdr:clientData/>
  </xdr:twoCellAnchor>
  <xdr:twoCellAnchor>
    <xdr:from>
      <xdr:col>18</xdr:col>
      <xdr:colOff>419100</xdr:colOff>
      <xdr:row>7</xdr:row>
      <xdr:rowOff>142875</xdr:rowOff>
    </xdr:from>
    <xdr:to>
      <xdr:col>24</xdr:col>
      <xdr:colOff>333375</xdr:colOff>
      <xdr:row>20</xdr:row>
      <xdr:rowOff>9525</xdr:rowOff>
    </xdr:to>
    <xdr:sp macro="" textlink="">
      <xdr:nvSpPr>
        <xdr:cNvPr id="10" name="Rectangle: Rounded Corners 9">
          <a:extLst>
            <a:ext uri="{FF2B5EF4-FFF2-40B4-BE49-F238E27FC236}">
              <a16:creationId xmlns:a16="http://schemas.microsoft.com/office/drawing/2014/main" id="{71826F6C-7E85-488A-973D-4B583294DEE0}"/>
            </a:ext>
          </a:extLst>
        </xdr:cNvPr>
        <xdr:cNvSpPr/>
      </xdr:nvSpPr>
      <xdr:spPr>
        <a:xfrm>
          <a:off x="11391900" y="1476375"/>
          <a:ext cx="3571875" cy="234315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a:solidFill>
                <a:schemeClr val="bg1"/>
              </a:solidFill>
            </a:rPr>
            <a:t>Total_Students</a:t>
          </a:r>
        </a:p>
        <a:p>
          <a:pPr algn="ctr"/>
          <a:endParaRPr lang="en-US" sz="3200" b="1" i="1">
            <a:solidFill>
              <a:schemeClr val="bg1"/>
            </a:solidFill>
          </a:endParaRPr>
        </a:p>
        <a:p>
          <a:pPr algn="ctr"/>
          <a:r>
            <a:rPr lang="en-US" sz="3200" b="1" i="1">
              <a:solidFill>
                <a:schemeClr val="bg1"/>
              </a:solidFill>
            </a:rPr>
            <a:t>50</a:t>
          </a:r>
        </a:p>
      </xdr:txBody>
    </xdr:sp>
    <xdr:clientData/>
  </xdr:twoCellAnchor>
  <xdr:twoCellAnchor>
    <xdr:from>
      <xdr:col>0</xdr:col>
      <xdr:colOff>495301</xdr:colOff>
      <xdr:row>7</xdr:row>
      <xdr:rowOff>104774</xdr:rowOff>
    </xdr:from>
    <xdr:to>
      <xdr:col>12</xdr:col>
      <xdr:colOff>9525</xdr:colOff>
      <xdr:row>21</xdr:row>
      <xdr:rowOff>180974</xdr:rowOff>
    </xdr:to>
    <xdr:graphicFrame macro="">
      <xdr:nvGraphicFramePr>
        <xdr:cNvPr id="12" name="Chart 11">
          <a:extLst>
            <a:ext uri="{FF2B5EF4-FFF2-40B4-BE49-F238E27FC236}">
              <a16:creationId xmlns:a16="http://schemas.microsoft.com/office/drawing/2014/main" id="{36E086F3-E850-436A-B42A-32E577D55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228600</xdr:colOff>
      <xdr:row>24</xdr:row>
      <xdr:rowOff>66675</xdr:rowOff>
    </xdr:from>
    <xdr:to>
      <xdr:col>12</xdr:col>
      <xdr:colOff>409575</xdr:colOff>
      <xdr:row>40</xdr:row>
      <xdr:rowOff>19050</xdr:rowOff>
    </xdr:to>
    <xdr:graphicFrame macro="">
      <xdr:nvGraphicFramePr>
        <xdr:cNvPr id="14" name="Chart 13">
          <a:extLst>
            <a:ext uri="{FF2B5EF4-FFF2-40B4-BE49-F238E27FC236}">
              <a16:creationId xmlns:a16="http://schemas.microsoft.com/office/drawing/2014/main" id="{0F582315-ED5F-4079-B76C-C6000ECBA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257176</xdr:colOff>
      <xdr:row>21</xdr:row>
      <xdr:rowOff>38099</xdr:rowOff>
    </xdr:from>
    <xdr:to>
      <xdr:col>23</xdr:col>
      <xdr:colOff>571500</xdr:colOff>
      <xdr:row>40</xdr:row>
      <xdr:rowOff>85724</xdr:rowOff>
    </xdr:to>
    <xdr:graphicFrame macro="">
      <xdr:nvGraphicFramePr>
        <xdr:cNvPr id="15" name="Chart 14">
          <a:extLst>
            <a:ext uri="{FF2B5EF4-FFF2-40B4-BE49-F238E27FC236}">
              <a16:creationId xmlns:a16="http://schemas.microsoft.com/office/drawing/2014/main" id="{3A9A6017-4B3A-4FBF-BDA2-7E12B3757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495300</xdr:colOff>
      <xdr:row>1</xdr:row>
      <xdr:rowOff>28576</xdr:rowOff>
    </xdr:from>
    <xdr:to>
      <xdr:col>27</xdr:col>
      <xdr:colOff>561976</xdr:colOff>
      <xdr:row>9</xdr:row>
      <xdr:rowOff>161926</xdr:rowOff>
    </xdr:to>
    <mc:AlternateContent xmlns:mc="http://schemas.openxmlformats.org/markup-compatibility/2006" xmlns:a14="http://schemas.microsoft.com/office/drawing/2010/main">
      <mc:Choice Requires="a14">
        <xdr:graphicFrame macro="">
          <xdr:nvGraphicFramePr>
            <xdr:cNvPr id="16" name="subject_name2">
              <a:extLst>
                <a:ext uri="{FF2B5EF4-FFF2-40B4-BE49-F238E27FC236}">
                  <a16:creationId xmlns:a16="http://schemas.microsoft.com/office/drawing/2014/main" id="{1023655C-729A-4AF9-8DD0-0627806D391B}"/>
                </a:ext>
              </a:extLst>
            </xdr:cNvPr>
            <xdr:cNvGraphicFramePr/>
          </xdr:nvGraphicFramePr>
          <xdr:xfrm>
            <a:off x="0" y="0"/>
            <a:ext cx="0" cy="0"/>
          </xdr:xfrm>
          <a:graphic>
            <a:graphicData uri="http://schemas.microsoft.com/office/drawing/2010/slicer">
              <sle:slicer xmlns:sle="http://schemas.microsoft.com/office/drawing/2010/slicer" name="subject_name2"/>
            </a:graphicData>
          </a:graphic>
        </xdr:graphicFrame>
      </mc:Choice>
      <mc:Fallback xmlns="">
        <xdr:sp macro="" textlink="">
          <xdr:nvSpPr>
            <xdr:cNvPr id="0" name=""/>
            <xdr:cNvSpPr>
              <a:spLocks noTextEdit="1"/>
            </xdr:cNvSpPr>
          </xdr:nvSpPr>
          <xdr:spPr>
            <a:xfrm>
              <a:off x="15125700" y="219076"/>
              <a:ext cx="1895476"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485775</xdr:colOff>
      <xdr:row>17</xdr:row>
      <xdr:rowOff>57150</xdr:rowOff>
    </xdr:from>
    <xdr:to>
      <xdr:col>27</xdr:col>
      <xdr:colOff>581026</xdr:colOff>
      <xdr:row>41</xdr:row>
      <xdr:rowOff>9525</xdr:rowOff>
    </xdr:to>
    <mc:AlternateContent xmlns:mc="http://schemas.openxmlformats.org/markup-compatibility/2006" xmlns:a14="http://schemas.microsoft.com/office/drawing/2010/main">
      <mc:Choice Requires="a14">
        <xdr:graphicFrame macro="">
          <xdr:nvGraphicFramePr>
            <xdr:cNvPr id="18" name="student_rank">
              <a:extLst>
                <a:ext uri="{FF2B5EF4-FFF2-40B4-BE49-F238E27FC236}">
                  <a16:creationId xmlns:a16="http://schemas.microsoft.com/office/drawing/2014/main" id="{E91306A9-B0CC-4185-8C9E-58DED28A83E6}"/>
                </a:ext>
              </a:extLst>
            </xdr:cNvPr>
            <xdr:cNvGraphicFramePr/>
          </xdr:nvGraphicFramePr>
          <xdr:xfrm>
            <a:off x="0" y="0"/>
            <a:ext cx="0" cy="0"/>
          </xdr:xfrm>
          <a:graphic>
            <a:graphicData uri="http://schemas.microsoft.com/office/drawing/2010/slicer">
              <sle:slicer xmlns:sle="http://schemas.microsoft.com/office/drawing/2010/slicer" name="student_rank"/>
            </a:graphicData>
          </a:graphic>
        </xdr:graphicFrame>
      </mc:Choice>
      <mc:Fallback xmlns="">
        <xdr:sp macro="" textlink="">
          <xdr:nvSpPr>
            <xdr:cNvPr id="0" name=""/>
            <xdr:cNvSpPr>
              <a:spLocks noTextEdit="1"/>
            </xdr:cNvSpPr>
          </xdr:nvSpPr>
          <xdr:spPr>
            <a:xfrm>
              <a:off x="15116175" y="3295650"/>
              <a:ext cx="1924051" cy="452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495300</xdr:colOff>
      <xdr:row>9</xdr:row>
      <xdr:rowOff>171450</xdr:rowOff>
    </xdr:from>
    <xdr:to>
      <xdr:col>27</xdr:col>
      <xdr:colOff>561976</xdr:colOff>
      <xdr:row>17</xdr:row>
      <xdr:rowOff>85725</xdr:rowOff>
    </xdr:to>
    <mc:AlternateContent xmlns:mc="http://schemas.openxmlformats.org/markup-compatibility/2006" xmlns:a14="http://schemas.microsoft.com/office/drawing/2010/main">
      <mc:Choice Requires="a14">
        <xdr:graphicFrame macro="">
          <xdr:nvGraphicFramePr>
            <xdr:cNvPr id="19" name="name2">
              <a:extLst>
                <a:ext uri="{FF2B5EF4-FFF2-40B4-BE49-F238E27FC236}">
                  <a16:creationId xmlns:a16="http://schemas.microsoft.com/office/drawing/2014/main" id="{A3D540B6-6DAC-4B6B-AF8B-018F322686C1}"/>
                </a:ext>
              </a:extLst>
            </xdr:cNvPr>
            <xdr:cNvGraphicFramePr/>
          </xdr:nvGraphicFramePr>
          <xdr:xfrm>
            <a:off x="0" y="0"/>
            <a:ext cx="0" cy="0"/>
          </xdr:xfrm>
          <a:graphic>
            <a:graphicData uri="http://schemas.microsoft.com/office/drawing/2010/slicer">
              <sle:slicer xmlns:sle="http://schemas.microsoft.com/office/drawing/2010/slicer" name="name2"/>
            </a:graphicData>
          </a:graphic>
        </xdr:graphicFrame>
      </mc:Choice>
      <mc:Fallback xmlns="">
        <xdr:sp macro="" textlink="">
          <xdr:nvSpPr>
            <xdr:cNvPr id="0" name=""/>
            <xdr:cNvSpPr>
              <a:spLocks noTextEdit="1"/>
            </xdr:cNvSpPr>
          </xdr:nvSpPr>
          <xdr:spPr>
            <a:xfrm>
              <a:off x="15125700" y="1885950"/>
              <a:ext cx="1895476"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xdr:row>
      <xdr:rowOff>180975</xdr:rowOff>
    </xdr:from>
    <xdr:to>
      <xdr:col>12</xdr:col>
      <xdr:colOff>314325</xdr:colOff>
      <xdr:row>20</xdr:row>
      <xdr:rowOff>104775</xdr:rowOff>
    </xdr:to>
    <xdr:sp macro="" textlink="">
      <xdr:nvSpPr>
        <xdr:cNvPr id="3" name="Rectangle: Rounded Corners 2">
          <a:extLst>
            <a:ext uri="{FF2B5EF4-FFF2-40B4-BE49-F238E27FC236}">
              <a16:creationId xmlns:a16="http://schemas.microsoft.com/office/drawing/2014/main" id="{F9418EDA-1082-34E5-AC62-46BE0B70DDC4}"/>
            </a:ext>
          </a:extLst>
        </xdr:cNvPr>
        <xdr:cNvSpPr/>
      </xdr:nvSpPr>
      <xdr:spPr>
        <a:xfrm>
          <a:off x="0" y="752475"/>
          <a:ext cx="7629525" cy="3162300"/>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62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20</xdr:row>
      <xdr:rowOff>142875</xdr:rowOff>
    </xdr:from>
    <xdr:to>
      <xdr:col>12</xdr:col>
      <xdr:colOff>314325</xdr:colOff>
      <xdr:row>41</xdr:row>
      <xdr:rowOff>19050</xdr:rowOff>
    </xdr:to>
    <xdr:sp macro="" textlink="">
      <xdr:nvSpPr>
        <xdr:cNvPr id="6" name="Rectangle: Rounded Corners 5">
          <a:extLst>
            <a:ext uri="{FF2B5EF4-FFF2-40B4-BE49-F238E27FC236}">
              <a16:creationId xmlns:a16="http://schemas.microsoft.com/office/drawing/2014/main" id="{AFD117DB-1551-4535-9732-4A1DEA33FB98}"/>
            </a:ext>
          </a:extLst>
        </xdr:cNvPr>
        <xdr:cNvSpPr/>
      </xdr:nvSpPr>
      <xdr:spPr>
        <a:xfrm>
          <a:off x="0" y="3952875"/>
          <a:ext cx="7629525" cy="3876675"/>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342900</xdr:colOff>
      <xdr:row>19</xdr:row>
      <xdr:rowOff>66675</xdr:rowOff>
    </xdr:from>
    <xdr:to>
      <xdr:col>25</xdr:col>
      <xdr:colOff>47625</xdr:colOff>
      <xdr:row>41</xdr:row>
      <xdr:rowOff>9525</xdr:rowOff>
    </xdr:to>
    <xdr:sp macro="" textlink="">
      <xdr:nvSpPr>
        <xdr:cNvPr id="8" name="Rectangle: Rounded Corners 7">
          <a:extLst>
            <a:ext uri="{FF2B5EF4-FFF2-40B4-BE49-F238E27FC236}">
              <a16:creationId xmlns:a16="http://schemas.microsoft.com/office/drawing/2014/main" id="{C2D490E0-248C-4D55-9936-F2E17008DF80}"/>
            </a:ext>
          </a:extLst>
        </xdr:cNvPr>
        <xdr:cNvSpPr/>
      </xdr:nvSpPr>
      <xdr:spPr>
        <a:xfrm>
          <a:off x="7658100" y="3686175"/>
          <a:ext cx="7629525" cy="4133850"/>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161925</xdr:colOff>
      <xdr:row>4</xdr:row>
      <xdr:rowOff>123825</xdr:rowOff>
    </xdr:from>
    <xdr:to>
      <xdr:col>12</xdr:col>
      <xdr:colOff>28574</xdr:colOff>
      <xdr:row>19</xdr:row>
      <xdr:rowOff>123825</xdr:rowOff>
    </xdr:to>
    <xdr:graphicFrame macro="">
      <xdr:nvGraphicFramePr>
        <xdr:cNvPr id="11" name="Chart 10">
          <a:extLst>
            <a:ext uri="{FF2B5EF4-FFF2-40B4-BE49-F238E27FC236}">
              <a16:creationId xmlns:a16="http://schemas.microsoft.com/office/drawing/2014/main" id="{FBEF7114-F915-4E30-A339-3BAC2059A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200025</xdr:colOff>
      <xdr:row>22</xdr:row>
      <xdr:rowOff>123825</xdr:rowOff>
    </xdr:from>
    <xdr:to>
      <xdr:col>12</xdr:col>
      <xdr:colOff>142875</xdr:colOff>
      <xdr:row>39</xdr:row>
      <xdr:rowOff>123824</xdr:rowOff>
    </xdr:to>
    <xdr:graphicFrame macro="">
      <xdr:nvGraphicFramePr>
        <xdr:cNvPr id="13" name="Chart 12">
          <a:extLst>
            <a:ext uri="{FF2B5EF4-FFF2-40B4-BE49-F238E27FC236}">
              <a16:creationId xmlns:a16="http://schemas.microsoft.com/office/drawing/2014/main" id="{85FEDB87-1362-48AC-B5B6-A05870017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76200</xdr:colOff>
      <xdr:row>3</xdr:row>
      <xdr:rowOff>133350</xdr:rowOff>
    </xdr:from>
    <xdr:to>
      <xdr:col>28</xdr:col>
      <xdr:colOff>76200</xdr:colOff>
      <xdr:row>41</xdr:row>
      <xdr:rowOff>28575</xdr:rowOff>
    </xdr:to>
    <xdr:sp macro="" textlink="">
      <xdr:nvSpPr>
        <xdr:cNvPr id="17" name="Rectangle: Rounded Corners 16">
          <a:extLst>
            <a:ext uri="{FF2B5EF4-FFF2-40B4-BE49-F238E27FC236}">
              <a16:creationId xmlns:a16="http://schemas.microsoft.com/office/drawing/2014/main" id="{26A0E580-132C-425A-ACA2-E20F4E629B8C}"/>
            </a:ext>
          </a:extLst>
        </xdr:cNvPr>
        <xdr:cNvSpPr/>
      </xdr:nvSpPr>
      <xdr:spPr>
        <a:xfrm>
          <a:off x="15316200" y="704850"/>
          <a:ext cx="1828800" cy="7134225"/>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390526</xdr:colOff>
      <xdr:row>9</xdr:row>
      <xdr:rowOff>95250</xdr:rowOff>
    </xdr:from>
    <xdr:to>
      <xdr:col>17</xdr:col>
      <xdr:colOff>47626</xdr:colOff>
      <xdr:row>18</xdr:row>
      <xdr:rowOff>161925</xdr:rowOff>
    </xdr:to>
    <xdr:sp macro="" textlink="">
      <xdr:nvSpPr>
        <xdr:cNvPr id="18" name="Rectangle: Rounded Corners 17">
          <a:extLst>
            <a:ext uri="{FF2B5EF4-FFF2-40B4-BE49-F238E27FC236}">
              <a16:creationId xmlns:a16="http://schemas.microsoft.com/office/drawing/2014/main" id="{4660C337-D488-4830-B72D-8801EBEF4C06}"/>
            </a:ext>
          </a:extLst>
        </xdr:cNvPr>
        <xdr:cNvSpPr/>
      </xdr:nvSpPr>
      <xdr:spPr>
        <a:xfrm>
          <a:off x="7705726" y="1809750"/>
          <a:ext cx="2705100" cy="1781175"/>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r="100000" b="100000"/>
          </a:path>
          <a:tileRect l="-100000" t="-100000"/>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2800" b="1" i="1" u="sng">
              <a:solidFill>
                <a:schemeClr val="bg2"/>
              </a:solidFill>
            </a:rPr>
            <a:t>Total</a:t>
          </a:r>
          <a:r>
            <a:rPr lang="en-US" sz="2800" b="1" i="1" u="sng" baseline="0">
              <a:solidFill>
                <a:schemeClr val="bg2"/>
              </a:solidFill>
            </a:rPr>
            <a:t>_Revenue</a:t>
          </a:r>
        </a:p>
        <a:p>
          <a:pPr algn="ctr"/>
          <a:r>
            <a:rPr lang="en-US" sz="2800" baseline="0">
              <a:solidFill>
                <a:schemeClr val="bg2"/>
              </a:solidFill>
            </a:rPr>
            <a:t>   </a:t>
          </a:r>
          <a:endParaRPr lang="en-US" sz="1100" b="0" i="0" u="none" strike="noStrike" baseline="0">
            <a:solidFill>
              <a:schemeClr val="bg2"/>
            </a:solidFill>
            <a:effectLst/>
            <a:latin typeface="+mn-lt"/>
            <a:ea typeface="+mn-ea"/>
            <a:cs typeface="+mn-cs"/>
          </a:endParaRPr>
        </a:p>
        <a:p>
          <a:pPr algn="ctr"/>
          <a:r>
            <a:rPr lang="en-US" sz="2800" b="1" i="1" u="none" strike="noStrike">
              <a:solidFill>
                <a:schemeClr val="bg2"/>
              </a:solidFill>
              <a:effectLst/>
              <a:latin typeface="+mn-lt"/>
              <a:ea typeface="+mn-ea"/>
              <a:cs typeface="+mn-cs"/>
            </a:rPr>
            <a:t>672750</a:t>
          </a:r>
          <a:r>
            <a:rPr lang="en-US" sz="2800">
              <a:solidFill>
                <a:schemeClr val="bg2"/>
              </a:solidFill>
              <a:effectLst/>
            </a:rPr>
            <a:t> </a:t>
          </a:r>
          <a:endParaRPr lang="en-US" sz="2800">
            <a:solidFill>
              <a:schemeClr val="bg2"/>
            </a:solidFill>
          </a:endParaRPr>
        </a:p>
      </xdr:txBody>
    </xdr:sp>
    <xdr:clientData/>
  </xdr:twoCellAnchor>
  <xdr:twoCellAnchor>
    <xdr:from>
      <xdr:col>21</xdr:col>
      <xdr:colOff>352426</xdr:colOff>
      <xdr:row>9</xdr:row>
      <xdr:rowOff>95250</xdr:rowOff>
    </xdr:from>
    <xdr:to>
      <xdr:col>25</xdr:col>
      <xdr:colOff>28576</xdr:colOff>
      <xdr:row>19</xdr:row>
      <xdr:rowOff>19050</xdr:rowOff>
    </xdr:to>
    <xdr:sp macro="" textlink="">
      <xdr:nvSpPr>
        <xdr:cNvPr id="20" name="Rectangle: Rounded Corners 19">
          <a:extLst>
            <a:ext uri="{FF2B5EF4-FFF2-40B4-BE49-F238E27FC236}">
              <a16:creationId xmlns:a16="http://schemas.microsoft.com/office/drawing/2014/main" id="{6435736F-9A24-431A-AEA9-A2D127813027}"/>
            </a:ext>
          </a:extLst>
        </xdr:cNvPr>
        <xdr:cNvSpPr/>
      </xdr:nvSpPr>
      <xdr:spPr>
        <a:xfrm>
          <a:off x="13154026" y="1809750"/>
          <a:ext cx="2114550" cy="1828800"/>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50000" t="50000" r="50000" b="50000"/>
          </a:path>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u="sng">
              <a:solidFill>
                <a:schemeClr val="bg2"/>
              </a:solidFill>
            </a:rPr>
            <a:t>Total_employee</a:t>
          </a:r>
        </a:p>
        <a:p>
          <a:pPr algn="ctr"/>
          <a:endParaRPr lang="en-US" sz="2000" b="1" i="1" u="none" strike="noStrike">
            <a:solidFill>
              <a:schemeClr val="bg2"/>
            </a:solidFill>
            <a:effectLst/>
            <a:latin typeface="+mn-lt"/>
            <a:ea typeface="+mn-ea"/>
            <a:cs typeface="+mn-cs"/>
          </a:endParaRPr>
        </a:p>
        <a:p>
          <a:pPr algn="ctr"/>
          <a:r>
            <a:rPr lang="en-US" sz="2800" b="1" i="1" u="none" strike="noStrike">
              <a:solidFill>
                <a:schemeClr val="bg2"/>
              </a:solidFill>
              <a:effectLst/>
              <a:latin typeface="+mn-lt"/>
              <a:ea typeface="+mn-ea"/>
              <a:cs typeface="+mn-cs"/>
            </a:rPr>
            <a:t>500</a:t>
          </a:r>
          <a:r>
            <a:rPr lang="en-US" sz="2800" b="1" i="1" u="none">
              <a:solidFill>
                <a:schemeClr val="bg2"/>
              </a:solidFill>
              <a:effectLst/>
            </a:rPr>
            <a:t> </a:t>
          </a:r>
          <a:endParaRPr lang="en-US" sz="2800" b="1" i="1" u="none">
            <a:solidFill>
              <a:schemeClr val="bg2"/>
            </a:solidFill>
          </a:endParaRPr>
        </a:p>
      </xdr:txBody>
    </xdr:sp>
    <xdr:clientData/>
  </xdr:twoCellAnchor>
  <xdr:twoCellAnchor>
    <xdr:from>
      <xdr:col>13</xdr:col>
      <xdr:colOff>180975</xdr:colOff>
      <xdr:row>19</xdr:row>
      <xdr:rowOff>142875</xdr:rowOff>
    </xdr:from>
    <xdr:to>
      <xdr:col>24</xdr:col>
      <xdr:colOff>295274</xdr:colOff>
      <xdr:row>40</xdr:row>
      <xdr:rowOff>142874</xdr:rowOff>
    </xdr:to>
    <xdr:graphicFrame macro="">
      <xdr:nvGraphicFramePr>
        <xdr:cNvPr id="22" name="Chart 21">
          <a:extLst>
            <a:ext uri="{FF2B5EF4-FFF2-40B4-BE49-F238E27FC236}">
              <a16:creationId xmlns:a16="http://schemas.microsoft.com/office/drawing/2014/main" id="{EFE63777-585D-421E-8EC7-94BA25E07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123825</xdr:colOff>
      <xdr:row>9</xdr:row>
      <xdr:rowOff>95250</xdr:rowOff>
    </xdr:from>
    <xdr:to>
      <xdr:col>21</xdr:col>
      <xdr:colOff>285750</xdr:colOff>
      <xdr:row>18</xdr:row>
      <xdr:rowOff>180976</xdr:rowOff>
    </xdr:to>
    <xdr:sp macro="" textlink="">
      <xdr:nvSpPr>
        <xdr:cNvPr id="23" name="Rectangle: Rounded Corners 22">
          <a:extLst>
            <a:ext uri="{FF2B5EF4-FFF2-40B4-BE49-F238E27FC236}">
              <a16:creationId xmlns:a16="http://schemas.microsoft.com/office/drawing/2014/main" id="{999104FC-FE28-42D9-BE1B-C436F7651E8A}"/>
            </a:ext>
          </a:extLst>
        </xdr:cNvPr>
        <xdr:cNvSpPr/>
      </xdr:nvSpPr>
      <xdr:spPr>
        <a:xfrm>
          <a:off x="10487025" y="1809750"/>
          <a:ext cx="2600325" cy="1800226"/>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08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1" u="sng">
              <a:solidFill>
                <a:schemeClr val="bg2"/>
              </a:solidFill>
            </a:rPr>
            <a:t>Profit</a:t>
          </a:r>
          <a:r>
            <a:rPr lang="en-US" sz="2800" b="1" u="sng" baseline="0">
              <a:solidFill>
                <a:schemeClr val="bg2"/>
              </a:solidFill>
            </a:rPr>
            <a:t>   </a:t>
          </a:r>
        </a:p>
        <a:p>
          <a:pPr algn="ctr"/>
          <a:endParaRPr lang="en-US" sz="2800" baseline="0">
            <a:solidFill>
              <a:schemeClr val="bg2"/>
            </a:solidFill>
          </a:endParaRPr>
        </a:p>
        <a:p>
          <a:pPr algn="ctr"/>
          <a:r>
            <a:rPr lang="en-US" sz="2800" b="1" i="0" u="none" strike="noStrike">
              <a:solidFill>
                <a:schemeClr val="bg2"/>
              </a:solidFill>
              <a:effectLst/>
              <a:latin typeface="+mn-lt"/>
              <a:ea typeface="+mn-ea"/>
              <a:cs typeface="+mn-cs"/>
            </a:rPr>
            <a:t>155250</a:t>
          </a:r>
          <a:r>
            <a:rPr lang="en-US" sz="2800">
              <a:solidFill>
                <a:schemeClr val="bg2"/>
              </a:solidFill>
              <a:effectLst/>
            </a:rPr>
            <a:t> </a:t>
          </a:r>
          <a:endParaRPr lang="en-US" sz="2800" baseline="0">
            <a:solidFill>
              <a:schemeClr val="bg2"/>
            </a:solidFill>
          </a:endParaRPr>
        </a:p>
        <a:p>
          <a:pPr algn="l"/>
          <a:endParaRPr lang="en-US" sz="1100"/>
        </a:p>
      </xdr:txBody>
    </xdr:sp>
    <xdr:clientData/>
  </xdr:twoCellAnchor>
  <xdr:twoCellAnchor editAs="oneCell">
    <xdr:from>
      <xdr:col>25</xdr:col>
      <xdr:colOff>180975</xdr:colOff>
      <xdr:row>25</xdr:row>
      <xdr:rowOff>171450</xdr:rowOff>
    </xdr:from>
    <xdr:to>
      <xdr:col>28</xdr:col>
      <xdr:colOff>1</xdr:colOff>
      <xdr:row>39</xdr:row>
      <xdr:rowOff>28575</xdr:rowOff>
    </xdr:to>
    <mc:AlternateContent xmlns:mc="http://schemas.openxmlformats.org/markup-compatibility/2006" xmlns:a14="http://schemas.microsoft.com/office/drawing/2010/main">
      <mc:Choice Requires="a14">
        <xdr:graphicFrame macro="">
          <xdr:nvGraphicFramePr>
            <xdr:cNvPr id="24" name="Product_name 1">
              <a:extLst>
                <a:ext uri="{FF2B5EF4-FFF2-40B4-BE49-F238E27FC236}">
                  <a16:creationId xmlns:a16="http://schemas.microsoft.com/office/drawing/2014/main" id="{8554BE2C-77E0-4A1D-A71D-7AE68FC20E79}"/>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5420975" y="4933950"/>
              <a:ext cx="164782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161925</xdr:colOff>
      <xdr:row>4</xdr:row>
      <xdr:rowOff>47625</xdr:rowOff>
    </xdr:from>
    <xdr:to>
      <xdr:col>28</xdr:col>
      <xdr:colOff>1</xdr:colOff>
      <xdr:row>17</xdr:row>
      <xdr:rowOff>19050</xdr:rowOff>
    </xdr:to>
    <mc:AlternateContent xmlns:mc="http://schemas.openxmlformats.org/markup-compatibility/2006" xmlns:a14="http://schemas.microsoft.com/office/drawing/2010/main">
      <mc:Choice Requires="a14">
        <xdr:graphicFrame macro="">
          <xdr:nvGraphicFramePr>
            <xdr:cNvPr id="25" name="Month 1">
              <a:extLst>
                <a:ext uri="{FF2B5EF4-FFF2-40B4-BE49-F238E27FC236}">
                  <a16:creationId xmlns:a16="http://schemas.microsoft.com/office/drawing/2014/main" id="{1984E644-F8FA-4832-B877-3E75BE89DDF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401925" y="809625"/>
              <a:ext cx="1666876" cy="2447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180975</xdr:colOff>
      <xdr:row>17</xdr:row>
      <xdr:rowOff>19050</xdr:rowOff>
    </xdr:from>
    <xdr:to>
      <xdr:col>28</xdr:col>
      <xdr:colOff>19050</xdr:colOff>
      <xdr:row>26</xdr:row>
      <xdr:rowOff>9525</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E96F549C-4F07-B8A3-506D-5FC2BA3456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420975" y="3257550"/>
              <a:ext cx="1666875"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333375</xdr:colOff>
      <xdr:row>4</xdr:row>
      <xdr:rowOff>0</xdr:rowOff>
    </xdr:from>
    <xdr:to>
      <xdr:col>25</xdr:col>
      <xdr:colOff>57150</xdr:colOff>
      <xdr:row>9</xdr:row>
      <xdr:rowOff>0</xdr:rowOff>
    </xdr:to>
    <xdr:sp macro="" textlink="">
      <xdr:nvSpPr>
        <xdr:cNvPr id="27" name="Rectangle: Rounded Corners 26">
          <a:extLst>
            <a:ext uri="{FF2B5EF4-FFF2-40B4-BE49-F238E27FC236}">
              <a16:creationId xmlns:a16="http://schemas.microsoft.com/office/drawing/2014/main" id="{58182538-63B6-4145-9217-E345506407AF}"/>
            </a:ext>
          </a:extLst>
        </xdr:cNvPr>
        <xdr:cNvSpPr/>
      </xdr:nvSpPr>
      <xdr:spPr>
        <a:xfrm>
          <a:off x="7648575" y="762000"/>
          <a:ext cx="7648575" cy="952500"/>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tx1"/>
              </a:solidFill>
            </a:rPr>
            <a:t>Sales &amp; Update</a:t>
          </a:r>
        </a:p>
      </xdr:txBody>
    </xdr:sp>
    <xdr:clientData/>
  </xdr:twoCellAnchor>
  <xdr:twoCellAnchor>
    <xdr:from>
      <xdr:col>0</xdr:col>
      <xdr:colOff>0</xdr:colOff>
      <xdr:row>0</xdr:row>
      <xdr:rowOff>9526</xdr:rowOff>
    </xdr:from>
    <xdr:to>
      <xdr:col>28</xdr:col>
      <xdr:colOff>180975</xdr:colOff>
      <xdr:row>3</xdr:row>
      <xdr:rowOff>171450</xdr:rowOff>
    </xdr:to>
    <xdr:sp macro="" textlink="">
      <xdr:nvSpPr>
        <xdr:cNvPr id="28" name="Rectangle: Rounded Corners 27">
          <a:extLst>
            <a:ext uri="{FF2B5EF4-FFF2-40B4-BE49-F238E27FC236}">
              <a16:creationId xmlns:a16="http://schemas.microsoft.com/office/drawing/2014/main" id="{250D41B7-C078-46C8-8448-E729E1D06EEA}"/>
            </a:ext>
          </a:extLst>
        </xdr:cNvPr>
        <xdr:cNvSpPr/>
      </xdr:nvSpPr>
      <xdr:spPr>
        <a:xfrm>
          <a:off x="0" y="9526"/>
          <a:ext cx="17249775" cy="733424"/>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u="sng">
              <a:solidFill>
                <a:schemeClr val="accent2"/>
              </a:solidFill>
            </a:rPr>
            <a:t>Sales &amp; Revenue Analysis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238124</xdr:colOff>
      <xdr:row>22</xdr:row>
      <xdr:rowOff>9525</xdr:rowOff>
    </xdr:from>
    <xdr:to>
      <xdr:col>16</xdr:col>
      <xdr:colOff>76199</xdr:colOff>
      <xdr:row>39</xdr:row>
      <xdr:rowOff>133350</xdr:rowOff>
    </xdr:to>
    <xdr:sp macro="" textlink="">
      <xdr:nvSpPr>
        <xdr:cNvPr id="2" name="Rectangle: Rounded Corners 1">
          <a:extLst>
            <a:ext uri="{FF2B5EF4-FFF2-40B4-BE49-F238E27FC236}">
              <a16:creationId xmlns:a16="http://schemas.microsoft.com/office/drawing/2014/main" id="{0A3A3646-B2C6-395C-F2DE-C55D964461B0}"/>
            </a:ext>
          </a:extLst>
        </xdr:cNvPr>
        <xdr:cNvSpPr/>
      </xdr:nvSpPr>
      <xdr:spPr>
        <a:xfrm>
          <a:off x="2066924" y="4200525"/>
          <a:ext cx="7762875" cy="33623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142875</xdr:colOff>
      <xdr:row>4</xdr:row>
      <xdr:rowOff>28575</xdr:rowOff>
    </xdr:from>
    <xdr:to>
      <xdr:col>28</xdr:col>
      <xdr:colOff>133350</xdr:colOff>
      <xdr:row>21</xdr:row>
      <xdr:rowOff>133350</xdr:rowOff>
    </xdr:to>
    <xdr:sp macro="" textlink="">
      <xdr:nvSpPr>
        <xdr:cNvPr id="3" name="Rectangle: Rounded Corners 2">
          <a:extLst>
            <a:ext uri="{FF2B5EF4-FFF2-40B4-BE49-F238E27FC236}">
              <a16:creationId xmlns:a16="http://schemas.microsoft.com/office/drawing/2014/main" id="{384FDB73-0B2E-4FB3-911E-A7822518F67F}"/>
            </a:ext>
          </a:extLst>
        </xdr:cNvPr>
        <xdr:cNvSpPr/>
      </xdr:nvSpPr>
      <xdr:spPr>
        <a:xfrm>
          <a:off x="9896475" y="790575"/>
          <a:ext cx="7305675" cy="334327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171450</xdr:colOff>
      <xdr:row>22</xdr:row>
      <xdr:rowOff>28575</xdr:rowOff>
    </xdr:from>
    <xdr:to>
      <xdr:col>28</xdr:col>
      <xdr:colOff>152400</xdr:colOff>
      <xdr:row>39</xdr:row>
      <xdr:rowOff>123825</xdr:rowOff>
    </xdr:to>
    <xdr:sp macro="" textlink="">
      <xdr:nvSpPr>
        <xdr:cNvPr id="4" name="Rectangle: Rounded Corners 3">
          <a:extLst>
            <a:ext uri="{FF2B5EF4-FFF2-40B4-BE49-F238E27FC236}">
              <a16:creationId xmlns:a16="http://schemas.microsoft.com/office/drawing/2014/main" id="{248B8E39-D0F8-4DDE-871F-DD628F7AD388}"/>
            </a:ext>
          </a:extLst>
        </xdr:cNvPr>
        <xdr:cNvSpPr/>
      </xdr:nvSpPr>
      <xdr:spPr>
        <a:xfrm>
          <a:off x="9925050" y="4219575"/>
          <a:ext cx="7296150" cy="33337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371475</xdr:colOff>
      <xdr:row>4</xdr:row>
      <xdr:rowOff>76201</xdr:rowOff>
    </xdr:from>
    <xdr:to>
      <xdr:col>16</xdr:col>
      <xdr:colOff>114299</xdr:colOff>
      <xdr:row>21</xdr:row>
      <xdr:rowOff>142875</xdr:rowOff>
    </xdr:to>
    <xdr:sp macro="" textlink="">
      <xdr:nvSpPr>
        <xdr:cNvPr id="5" name="Rectangle: Rounded Corners 4">
          <a:extLst>
            <a:ext uri="{FF2B5EF4-FFF2-40B4-BE49-F238E27FC236}">
              <a16:creationId xmlns:a16="http://schemas.microsoft.com/office/drawing/2014/main" id="{2F46A5CD-DA9B-4B29-87E5-CB91C7341C70}"/>
            </a:ext>
          </a:extLst>
        </xdr:cNvPr>
        <xdr:cNvSpPr/>
      </xdr:nvSpPr>
      <xdr:spPr>
        <a:xfrm>
          <a:off x="4638675" y="838201"/>
          <a:ext cx="5229224" cy="330517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0</xdr:row>
      <xdr:rowOff>38100</xdr:rowOff>
    </xdr:from>
    <xdr:to>
      <xdr:col>28</xdr:col>
      <xdr:colOff>123825</xdr:colOff>
      <xdr:row>4</xdr:row>
      <xdr:rowOff>9525</xdr:rowOff>
    </xdr:to>
    <xdr:sp macro="" textlink="">
      <xdr:nvSpPr>
        <xdr:cNvPr id="7" name="Rectangle: Rounded Corners 6">
          <a:extLst>
            <a:ext uri="{FF2B5EF4-FFF2-40B4-BE49-F238E27FC236}">
              <a16:creationId xmlns:a16="http://schemas.microsoft.com/office/drawing/2014/main" id="{F0CA4410-3073-470B-878F-74EBC279CB40}"/>
            </a:ext>
          </a:extLst>
        </xdr:cNvPr>
        <xdr:cNvSpPr/>
      </xdr:nvSpPr>
      <xdr:spPr>
        <a:xfrm>
          <a:off x="38100" y="38100"/>
          <a:ext cx="17154525" cy="7334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baseline="0">
              <a:solidFill>
                <a:schemeClr val="accent2"/>
              </a:solidFill>
            </a:rPr>
            <a:t>Student Performance Analytics Dashboard</a:t>
          </a:r>
        </a:p>
        <a:p>
          <a:pPr algn="ctr"/>
          <a:endParaRPr lang="en-US" sz="3200" b="1" i="1">
            <a:solidFill>
              <a:schemeClr val="accent2"/>
            </a:solidFill>
          </a:endParaRPr>
        </a:p>
      </xdr:txBody>
    </xdr:sp>
    <xdr:clientData/>
  </xdr:twoCellAnchor>
  <xdr:twoCellAnchor>
    <xdr:from>
      <xdr:col>0</xdr:col>
      <xdr:colOff>28575</xdr:colOff>
      <xdr:row>4</xdr:row>
      <xdr:rowOff>95250</xdr:rowOff>
    </xdr:from>
    <xdr:to>
      <xdr:col>3</xdr:col>
      <xdr:colOff>152400</xdr:colOff>
      <xdr:row>40</xdr:row>
      <xdr:rowOff>9525</xdr:rowOff>
    </xdr:to>
    <xdr:sp macro="" textlink="">
      <xdr:nvSpPr>
        <xdr:cNvPr id="8" name="Rectangle: Rounded Corners 7">
          <a:extLst>
            <a:ext uri="{FF2B5EF4-FFF2-40B4-BE49-F238E27FC236}">
              <a16:creationId xmlns:a16="http://schemas.microsoft.com/office/drawing/2014/main" id="{2BDA5140-9657-4B9F-87A1-8E0ECD71ABD4}"/>
            </a:ext>
          </a:extLst>
        </xdr:cNvPr>
        <xdr:cNvSpPr/>
      </xdr:nvSpPr>
      <xdr:spPr>
        <a:xfrm>
          <a:off x="28575" y="857250"/>
          <a:ext cx="1952625" cy="6772275"/>
        </a:xfrm>
        <a:prstGeom prst="round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438150</xdr:colOff>
      <xdr:row>5</xdr:row>
      <xdr:rowOff>0</xdr:rowOff>
    </xdr:from>
    <xdr:to>
      <xdr:col>27</xdr:col>
      <xdr:colOff>514350</xdr:colOff>
      <xdr:row>20</xdr:row>
      <xdr:rowOff>171449</xdr:rowOff>
    </xdr:to>
    <xdr:graphicFrame macro="">
      <xdr:nvGraphicFramePr>
        <xdr:cNvPr id="10" name="Chart 9">
          <a:extLst>
            <a:ext uri="{FF2B5EF4-FFF2-40B4-BE49-F238E27FC236}">
              <a16:creationId xmlns:a16="http://schemas.microsoft.com/office/drawing/2014/main" id="{C3A09586-F707-4B00-AC7B-A8331B67A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514351</xdr:colOff>
      <xdr:row>22</xdr:row>
      <xdr:rowOff>152401</xdr:rowOff>
    </xdr:from>
    <xdr:to>
      <xdr:col>27</xdr:col>
      <xdr:colOff>476251</xdr:colOff>
      <xdr:row>39</xdr:row>
      <xdr:rowOff>38101</xdr:rowOff>
    </xdr:to>
    <xdr:graphicFrame macro="">
      <xdr:nvGraphicFramePr>
        <xdr:cNvPr id="11" name="Chart 10">
          <a:extLst>
            <a:ext uri="{FF2B5EF4-FFF2-40B4-BE49-F238E27FC236}">
              <a16:creationId xmlns:a16="http://schemas.microsoft.com/office/drawing/2014/main" id="{A17B54EB-039E-4C07-9EFA-B8FB35778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561974</xdr:colOff>
      <xdr:row>22</xdr:row>
      <xdr:rowOff>152400</xdr:rowOff>
    </xdr:from>
    <xdr:to>
      <xdr:col>15</xdr:col>
      <xdr:colOff>57149</xdr:colOff>
      <xdr:row>39</xdr:row>
      <xdr:rowOff>38100</xdr:rowOff>
    </xdr:to>
    <xdr:graphicFrame macro="">
      <xdr:nvGraphicFramePr>
        <xdr:cNvPr id="12" name="Chart 11">
          <a:extLst>
            <a:ext uri="{FF2B5EF4-FFF2-40B4-BE49-F238E27FC236}">
              <a16:creationId xmlns:a16="http://schemas.microsoft.com/office/drawing/2014/main" id="{C90C6E3B-F797-4295-8785-535B900EE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104775</xdr:colOff>
      <xdr:row>5</xdr:row>
      <xdr:rowOff>9526</xdr:rowOff>
    </xdr:from>
    <xdr:to>
      <xdr:col>15</xdr:col>
      <xdr:colOff>390525</xdr:colOff>
      <xdr:row>21</xdr:row>
      <xdr:rowOff>57150</xdr:rowOff>
    </xdr:to>
    <xdr:graphicFrame macro="">
      <xdr:nvGraphicFramePr>
        <xdr:cNvPr id="13" name="Chart 12">
          <a:extLst>
            <a:ext uri="{FF2B5EF4-FFF2-40B4-BE49-F238E27FC236}">
              <a16:creationId xmlns:a16="http://schemas.microsoft.com/office/drawing/2014/main" id="{18575CDF-488F-4C7A-8093-D0C725D8D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123825</xdr:colOff>
      <xdr:row>12</xdr:row>
      <xdr:rowOff>38100</xdr:rowOff>
    </xdr:from>
    <xdr:to>
      <xdr:col>3</xdr:col>
      <xdr:colOff>95250</xdr:colOff>
      <xdr:row>23</xdr:row>
      <xdr:rowOff>66675</xdr:rowOff>
    </xdr:to>
    <mc:AlternateContent xmlns:mc="http://schemas.openxmlformats.org/markup-compatibility/2006" xmlns:a14="http://schemas.microsoft.com/office/drawing/2010/main">
      <mc:Choice Requires="a14">
        <xdr:graphicFrame macro="">
          <xdr:nvGraphicFramePr>
            <xdr:cNvPr id="14" name="subject_name">
              <a:extLst>
                <a:ext uri="{FF2B5EF4-FFF2-40B4-BE49-F238E27FC236}">
                  <a16:creationId xmlns:a16="http://schemas.microsoft.com/office/drawing/2014/main" id="{80C9BB10-2EF4-C74A-58BB-CFBD1F3476AE}"/>
                </a:ext>
              </a:extLst>
            </xdr:cNvPr>
            <xdr:cNvGraphicFramePr/>
          </xdr:nvGraphicFramePr>
          <xdr:xfrm>
            <a:off x="0" y="0"/>
            <a:ext cx="0" cy="0"/>
          </xdr:xfrm>
          <a:graphic>
            <a:graphicData uri="http://schemas.microsoft.com/office/drawing/2010/slicer">
              <sle:slicer xmlns:sle="http://schemas.microsoft.com/office/drawing/2010/slicer" name="subject_name"/>
            </a:graphicData>
          </a:graphic>
        </xdr:graphicFrame>
      </mc:Choice>
      <mc:Fallback xmlns="">
        <xdr:sp macro="" textlink="">
          <xdr:nvSpPr>
            <xdr:cNvPr id="0" name=""/>
            <xdr:cNvSpPr>
              <a:spLocks noTextEdit="1"/>
            </xdr:cNvSpPr>
          </xdr:nvSpPr>
          <xdr:spPr>
            <a:xfrm>
              <a:off x="123825" y="2324100"/>
              <a:ext cx="1800225" cy="2124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4</xdr:row>
      <xdr:rowOff>152400</xdr:rowOff>
    </xdr:from>
    <xdr:to>
      <xdr:col>3</xdr:col>
      <xdr:colOff>19050</xdr:colOff>
      <xdr:row>12</xdr:row>
      <xdr:rowOff>47624</xdr:rowOff>
    </xdr:to>
    <mc:AlternateContent xmlns:mc="http://schemas.openxmlformats.org/markup-compatibility/2006" xmlns:a14="http://schemas.microsoft.com/office/drawing/2010/main">
      <mc:Choice Requires="a14">
        <xdr:graphicFrame macro="">
          <xdr:nvGraphicFramePr>
            <xdr:cNvPr id="15" name="rank">
              <a:extLst>
                <a:ext uri="{FF2B5EF4-FFF2-40B4-BE49-F238E27FC236}">
                  <a16:creationId xmlns:a16="http://schemas.microsoft.com/office/drawing/2014/main" id="{72609666-CA4F-D6AD-9BB7-9A840FCB6511}"/>
                </a:ext>
              </a:extLst>
            </xdr:cNvPr>
            <xdr:cNvGraphicFramePr/>
          </xdr:nvGraphicFramePr>
          <xdr:xfrm>
            <a:off x="0" y="0"/>
            <a:ext cx="0" cy="0"/>
          </xdr:xfrm>
          <a:graphic>
            <a:graphicData uri="http://schemas.microsoft.com/office/drawing/2010/slicer">
              <sle:slicer xmlns:sle="http://schemas.microsoft.com/office/drawing/2010/slicer" name="rank"/>
            </a:graphicData>
          </a:graphic>
        </xdr:graphicFrame>
      </mc:Choice>
      <mc:Fallback xmlns="">
        <xdr:sp macro="" textlink="">
          <xdr:nvSpPr>
            <xdr:cNvPr id="0" name=""/>
            <xdr:cNvSpPr>
              <a:spLocks noTextEdit="1"/>
            </xdr:cNvSpPr>
          </xdr:nvSpPr>
          <xdr:spPr>
            <a:xfrm>
              <a:off x="123826" y="895351"/>
              <a:ext cx="1781174" cy="1438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104776</xdr:colOff>
      <xdr:row>31</xdr:row>
      <xdr:rowOff>142875</xdr:rowOff>
    </xdr:from>
    <xdr:to>
      <xdr:col>3</xdr:col>
      <xdr:colOff>95250</xdr:colOff>
      <xdr:row>39</xdr:row>
      <xdr:rowOff>85724</xdr:rowOff>
    </xdr:to>
    <mc:AlternateContent xmlns:mc="http://schemas.openxmlformats.org/markup-compatibility/2006" xmlns:a14="http://schemas.microsoft.com/office/drawing/2010/main">
      <mc:Choice Requires="a14">
        <xdr:graphicFrame macro="">
          <xdr:nvGraphicFramePr>
            <xdr:cNvPr id="16" name="Top_student">
              <a:extLst>
                <a:ext uri="{FF2B5EF4-FFF2-40B4-BE49-F238E27FC236}">
                  <a16:creationId xmlns:a16="http://schemas.microsoft.com/office/drawing/2014/main" id="{F18D1372-F2B4-793E-46F7-59378CBF111E}"/>
                </a:ext>
              </a:extLst>
            </xdr:cNvPr>
            <xdr:cNvGraphicFramePr/>
          </xdr:nvGraphicFramePr>
          <xdr:xfrm>
            <a:off x="0" y="0"/>
            <a:ext cx="0" cy="0"/>
          </xdr:xfrm>
          <a:graphic>
            <a:graphicData uri="http://schemas.microsoft.com/office/drawing/2010/slicer">
              <sle:slicer xmlns:sle="http://schemas.microsoft.com/office/drawing/2010/slicer" name="Top_student"/>
            </a:graphicData>
          </a:graphic>
        </xdr:graphicFrame>
      </mc:Choice>
      <mc:Fallback xmlns="">
        <xdr:sp macro="" textlink="">
          <xdr:nvSpPr>
            <xdr:cNvPr id="0" name=""/>
            <xdr:cNvSpPr>
              <a:spLocks noTextEdit="1"/>
            </xdr:cNvSpPr>
          </xdr:nvSpPr>
          <xdr:spPr>
            <a:xfrm>
              <a:off x="104776" y="6048375"/>
              <a:ext cx="1819274" cy="1466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23</xdr:row>
      <xdr:rowOff>85725</xdr:rowOff>
    </xdr:from>
    <xdr:to>
      <xdr:col>3</xdr:col>
      <xdr:colOff>114300</xdr:colOff>
      <xdr:row>31</xdr:row>
      <xdr:rowOff>180975</xdr:rowOff>
    </xdr:to>
    <mc:AlternateContent xmlns:mc="http://schemas.openxmlformats.org/markup-compatibility/2006" xmlns:a14="http://schemas.microsoft.com/office/drawing/2010/main">
      <mc:Choice Requires="a14">
        <xdr:graphicFrame macro="">
          <xdr:nvGraphicFramePr>
            <xdr:cNvPr id="17" name="Top_student_score">
              <a:extLst>
                <a:ext uri="{FF2B5EF4-FFF2-40B4-BE49-F238E27FC236}">
                  <a16:creationId xmlns:a16="http://schemas.microsoft.com/office/drawing/2014/main" id="{939BCC48-8181-7463-3F27-FEB35ED1068A}"/>
                </a:ext>
              </a:extLst>
            </xdr:cNvPr>
            <xdr:cNvGraphicFramePr/>
          </xdr:nvGraphicFramePr>
          <xdr:xfrm>
            <a:off x="0" y="0"/>
            <a:ext cx="0" cy="0"/>
          </xdr:xfrm>
          <a:graphic>
            <a:graphicData uri="http://schemas.microsoft.com/office/drawing/2010/slicer">
              <sle:slicer xmlns:sle="http://schemas.microsoft.com/office/drawing/2010/slicer" name="Top_student_score"/>
            </a:graphicData>
          </a:graphic>
        </xdr:graphicFrame>
      </mc:Choice>
      <mc:Fallback xmlns="">
        <xdr:sp macro="" textlink="">
          <xdr:nvSpPr>
            <xdr:cNvPr id="0" name=""/>
            <xdr:cNvSpPr>
              <a:spLocks noTextEdit="1"/>
            </xdr:cNvSpPr>
          </xdr:nvSpPr>
          <xdr:spPr>
            <a:xfrm>
              <a:off x="114300" y="4467225"/>
              <a:ext cx="1828800"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247649</xdr:colOff>
      <xdr:row>4</xdr:row>
      <xdr:rowOff>76199</xdr:rowOff>
    </xdr:from>
    <xdr:to>
      <xdr:col>7</xdr:col>
      <xdr:colOff>323850</xdr:colOff>
      <xdr:row>12</xdr:row>
      <xdr:rowOff>171450</xdr:rowOff>
    </xdr:to>
    <xdr:sp macro="" textlink="">
      <xdr:nvSpPr>
        <xdr:cNvPr id="9" name="Rectangle: Rounded Corners 8">
          <a:extLst>
            <a:ext uri="{FF2B5EF4-FFF2-40B4-BE49-F238E27FC236}">
              <a16:creationId xmlns:a16="http://schemas.microsoft.com/office/drawing/2014/main" id="{48F026DF-859C-4D5D-AF88-696C4750B814}"/>
            </a:ext>
          </a:extLst>
        </xdr:cNvPr>
        <xdr:cNvSpPr/>
      </xdr:nvSpPr>
      <xdr:spPr>
        <a:xfrm>
          <a:off x="2076449" y="838199"/>
          <a:ext cx="2514601" cy="161925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1">
              <a:solidFill>
                <a:schemeClr val="accent2"/>
              </a:solidFill>
            </a:rPr>
            <a:t>Total_Students</a:t>
          </a:r>
        </a:p>
        <a:p>
          <a:pPr algn="ctr"/>
          <a:endParaRPr lang="en-US" sz="2400" b="1" i="1" u="none" strike="noStrike">
            <a:solidFill>
              <a:schemeClr val="accent2"/>
            </a:solidFill>
            <a:effectLst/>
            <a:latin typeface="+mn-lt"/>
            <a:ea typeface="+mn-ea"/>
            <a:cs typeface="+mn-cs"/>
          </a:endParaRPr>
        </a:p>
        <a:p>
          <a:pPr algn="ctr"/>
          <a:r>
            <a:rPr lang="en-US" sz="2400" b="1" i="1" u="none" strike="noStrike">
              <a:solidFill>
                <a:schemeClr val="accent2"/>
              </a:solidFill>
              <a:effectLst/>
              <a:latin typeface="+mn-lt"/>
              <a:ea typeface="+mn-ea"/>
              <a:cs typeface="+mn-cs"/>
            </a:rPr>
            <a:t>       20</a:t>
          </a:r>
          <a:r>
            <a:rPr lang="en-US" sz="2400" b="1" i="1">
              <a:solidFill>
                <a:schemeClr val="accent2"/>
              </a:solidFill>
              <a:effectLst/>
            </a:rPr>
            <a:t> </a:t>
          </a:r>
          <a:endParaRPr lang="en-US" sz="2400" b="1" i="1">
            <a:solidFill>
              <a:schemeClr val="accent2"/>
            </a:solidFill>
          </a:endParaRPr>
        </a:p>
      </xdr:txBody>
    </xdr:sp>
    <xdr:clientData/>
  </xdr:twoCellAnchor>
  <xdr:twoCellAnchor>
    <xdr:from>
      <xdr:col>3</xdr:col>
      <xdr:colOff>304800</xdr:colOff>
      <xdr:row>13</xdr:row>
      <xdr:rowOff>9525</xdr:rowOff>
    </xdr:from>
    <xdr:to>
      <xdr:col>7</xdr:col>
      <xdr:colOff>381001</xdr:colOff>
      <xdr:row>22</xdr:row>
      <xdr:rowOff>19050</xdr:rowOff>
    </xdr:to>
    <xdr:sp macro="" textlink="">
      <xdr:nvSpPr>
        <xdr:cNvPr id="22" name="Rectangle: Rounded Corners 21">
          <a:extLst>
            <a:ext uri="{FF2B5EF4-FFF2-40B4-BE49-F238E27FC236}">
              <a16:creationId xmlns:a16="http://schemas.microsoft.com/office/drawing/2014/main" id="{0D40B2CE-89A7-41C7-AC9E-A6AA9D17065B}"/>
            </a:ext>
          </a:extLst>
        </xdr:cNvPr>
        <xdr:cNvSpPr/>
      </xdr:nvSpPr>
      <xdr:spPr>
        <a:xfrm>
          <a:off x="2133600" y="2486025"/>
          <a:ext cx="2514601" cy="17240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a:solidFill>
                <a:schemeClr val="accent2"/>
              </a:solidFill>
            </a:rPr>
            <a:t>Top_Students</a:t>
          </a:r>
        </a:p>
        <a:p>
          <a:pPr algn="ctr"/>
          <a:r>
            <a:rPr lang="en-US" sz="2000" b="1" i="1" u="none" strike="noStrike">
              <a:solidFill>
                <a:schemeClr val="accent2"/>
              </a:solidFill>
              <a:effectLst/>
              <a:latin typeface="+mn-lt"/>
              <a:ea typeface="+mn-ea"/>
              <a:cs typeface="+mn-cs"/>
            </a:rPr>
            <a:t>fahim</a:t>
          </a:r>
        </a:p>
        <a:p>
          <a:pPr algn="ctr"/>
          <a:r>
            <a:rPr lang="en-US" sz="2000" b="1" i="1" u="none" strike="noStrike">
              <a:solidFill>
                <a:schemeClr val="accent2"/>
              </a:solidFill>
              <a:effectLst/>
              <a:latin typeface="+mn-lt"/>
              <a:ea typeface="+mn-ea"/>
              <a:cs typeface="+mn-cs"/>
            </a:rPr>
            <a:t>nayeem</a:t>
          </a:r>
        </a:p>
        <a:p>
          <a:pPr algn="ctr"/>
          <a:r>
            <a:rPr lang="en-US" sz="2000" b="1" i="1" u="none" strike="noStrike">
              <a:solidFill>
                <a:schemeClr val="accent2"/>
              </a:solidFill>
              <a:effectLst/>
              <a:latin typeface="+mn-lt"/>
              <a:ea typeface="+mn-ea"/>
              <a:cs typeface="+mn-cs"/>
            </a:rPr>
            <a:t>Rana</a:t>
          </a:r>
        </a:p>
        <a:p>
          <a:pPr algn="ctr"/>
          <a:r>
            <a:rPr lang="en-US" sz="2400" b="1" i="1" u="none" strike="noStrike">
              <a:solidFill>
                <a:schemeClr val="accent5"/>
              </a:solidFill>
              <a:effectLst/>
              <a:latin typeface="+mn-lt"/>
              <a:ea typeface="+mn-ea"/>
              <a:cs typeface="+mn-cs"/>
            </a:rPr>
            <a:t>      </a:t>
          </a:r>
          <a:r>
            <a:rPr lang="en-US" sz="2400" b="1" i="1">
              <a:solidFill>
                <a:schemeClr val="accent5"/>
              </a:solidFill>
              <a:effectLst/>
            </a:rPr>
            <a:t> </a:t>
          </a:r>
          <a:endParaRPr lang="en-US" sz="2400" b="1" i="1">
            <a:solidFill>
              <a:schemeClr val="accent5"/>
            </a:solidFill>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20</xdr:col>
      <xdr:colOff>389049</xdr:colOff>
      <xdr:row>2</xdr:row>
      <xdr:rowOff>120740</xdr:rowOff>
    </xdr:from>
    <xdr:ext cx="184731" cy="264560"/>
    <xdr:sp macro="" textlink="">
      <xdr:nvSpPr>
        <xdr:cNvPr id="2" name="TextBox 1">
          <a:extLst>
            <a:ext uri="{FF2B5EF4-FFF2-40B4-BE49-F238E27FC236}">
              <a16:creationId xmlns:a16="http://schemas.microsoft.com/office/drawing/2014/main" id="{EFFD1258-C6D2-0C9E-ABC4-A73BA97D54FB}"/>
            </a:ext>
          </a:extLst>
        </xdr:cNvPr>
        <xdr:cNvSpPr txBox="1"/>
      </xdr:nvSpPr>
      <xdr:spPr>
        <a:xfrm>
          <a:off x="18325563" y="509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12.xml><?xml version="1.0" encoding="utf-8"?>
<xdr:wsDr xmlns:xdr="http://schemas.openxmlformats.org/drawingml/2006/spreadsheetDrawing" xmlns:a="http://schemas.openxmlformats.org/drawingml/2006/main">
  <xdr:twoCellAnchor>
    <xdr:from>
      <xdr:col>0</xdr:col>
      <xdr:colOff>38100</xdr:colOff>
      <xdr:row>0</xdr:row>
      <xdr:rowOff>57151</xdr:rowOff>
    </xdr:from>
    <xdr:to>
      <xdr:col>3</xdr:col>
      <xdr:colOff>352425</xdr:colOff>
      <xdr:row>43</xdr:row>
      <xdr:rowOff>19051</xdr:rowOff>
    </xdr:to>
    <xdr:sp macro="" textlink="">
      <xdr:nvSpPr>
        <xdr:cNvPr id="2" name="Rectangle: Rounded Corners 1">
          <a:extLst>
            <a:ext uri="{FF2B5EF4-FFF2-40B4-BE49-F238E27FC236}">
              <a16:creationId xmlns:a16="http://schemas.microsoft.com/office/drawing/2014/main" id="{E4CEAFAB-4056-0212-1DA8-421CC67DD2A3}"/>
            </a:ext>
          </a:extLst>
        </xdr:cNvPr>
        <xdr:cNvSpPr/>
      </xdr:nvSpPr>
      <xdr:spPr>
        <a:xfrm>
          <a:off x="38100" y="57151"/>
          <a:ext cx="2143125" cy="8153400"/>
        </a:xfrm>
        <a:prstGeom prst="roundRect">
          <a:avLst/>
        </a:prstGeom>
        <a:solidFill>
          <a:schemeClr val="tx1"/>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381000</xdr:colOff>
      <xdr:row>0</xdr:row>
      <xdr:rowOff>47624</xdr:rowOff>
    </xdr:from>
    <xdr:to>
      <xdr:col>27</xdr:col>
      <xdr:colOff>590550</xdr:colOff>
      <xdr:row>6</xdr:row>
      <xdr:rowOff>152399</xdr:rowOff>
    </xdr:to>
    <xdr:sp macro="" textlink="">
      <xdr:nvSpPr>
        <xdr:cNvPr id="4" name="Rectangle: Rounded Corners 3">
          <a:extLst>
            <a:ext uri="{FF2B5EF4-FFF2-40B4-BE49-F238E27FC236}">
              <a16:creationId xmlns:a16="http://schemas.microsoft.com/office/drawing/2014/main" id="{F0BA3CA6-7CE9-487F-95E2-CD05CA87E1A7}"/>
            </a:ext>
          </a:extLst>
        </xdr:cNvPr>
        <xdr:cNvSpPr/>
      </xdr:nvSpPr>
      <xdr:spPr>
        <a:xfrm>
          <a:off x="2209800" y="47624"/>
          <a:ext cx="14839950" cy="1247775"/>
        </a:xfrm>
        <a:prstGeom prst="roundRect">
          <a:avLst/>
        </a:prstGeom>
        <a:solidFill>
          <a:schemeClr val="tx1"/>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7200" b="1">
              <a:solidFill>
                <a:schemeClr val="accent2"/>
              </a:solidFill>
            </a:rPr>
            <a:t>Banking Analysis DashBoard</a:t>
          </a:r>
        </a:p>
      </xdr:txBody>
    </xdr:sp>
    <xdr:clientData/>
  </xdr:twoCellAnchor>
  <xdr:twoCellAnchor>
    <xdr:from>
      <xdr:col>3</xdr:col>
      <xdr:colOff>390523</xdr:colOff>
      <xdr:row>24</xdr:row>
      <xdr:rowOff>28575</xdr:rowOff>
    </xdr:from>
    <xdr:to>
      <xdr:col>16</xdr:col>
      <xdr:colOff>552450</xdr:colOff>
      <xdr:row>42</xdr:row>
      <xdr:rowOff>161926</xdr:rowOff>
    </xdr:to>
    <xdr:sp macro="" textlink="">
      <xdr:nvSpPr>
        <xdr:cNvPr id="6" name="Rectangle: Rounded Corners 5">
          <a:extLst>
            <a:ext uri="{FF2B5EF4-FFF2-40B4-BE49-F238E27FC236}">
              <a16:creationId xmlns:a16="http://schemas.microsoft.com/office/drawing/2014/main" id="{BB27B77A-A0F6-4CB8-8B71-6E0545EC3F22}"/>
            </a:ext>
          </a:extLst>
        </xdr:cNvPr>
        <xdr:cNvSpPr/>
      </xdr:nvSpPr>
      <xdr:spPr>
        <a:xfrm>
          <a:off x="2219323" y="4600575"/>
          <a:ext cx="8086727" cy="3562351"/>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9525</xdr:colOff>
      <xdr:row>23</xdr:row>
      <xdr:rowOff>180974</xdr:rowOff>
    </xdr:from>
    <xdr:to>
      <xdr:col>28</xdr:col>
      <xdr:colOff>76200</xdr:colOff>
      <xdr:row>42</xdr:row>
      <xdr:rowOff>152399</xdr:rowOff>
    </xdr:to>
    <xdr:sp macro="" textlink="">
      <xdr:nvSpPr>
        <xdr:cNvPr id="8" name="Rectangle: Rounded Corners 7">
          <a:extLst>
            <a:ext uri="{FF2B5EF4-FFF2-40B4-BE49-F238E27FC236}">
              <a16:creationId xmlns:a16="http://schemas.microsoft.com/office/drawing/2014/main" id="{9B0B7576-FA92-4BA4-AEAE-E9DCDBE7868F}"/>
            </a:ext>
          </a:extLst>
        </xdr:cNvPr>
        <xdr:cNvSpPr/>
      </xdr:nvSpPr>
      <xdr:spPr>
        <a:xfrm>
          <a:off x="10372725" y="4562474"/>
          <a:ext cx="6772275" cy="3590925"/>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85725</xdr:colOff>
      <xdr:row>7</xdr:row>
      <xdr:rowOff>47625</xdr:rowOff>
    </xdr:from>
    <xdr:to>
      <xdr:col>18</xdr:col>
      <xdr:colOff>295275</xdr:colOff>
      <xdr:row>23</xdr:row>
      <xdr:rowOff>66675</xdr:rowOff>
    </xdr:to>
    <xdr:sp macro="" textlink="">
      <xdr:nvSpPr>
        <xdr:cNvPr id="9" name="Rectangle: Rounded Corners 8">
          <a:extLst>
            <a:ext uri="{FF2B5EF4-FFF2-40B4-BE49-F238E27FC236}">
              <a16:creationId xmlns:a16="http://schemas.microsoft.com/office/drawing/2014/main" id="{D18B4B7B-ED69-4346-924E-74AA2A37C212}"/>
            </a:ext>
          </a:extLst>
        </xdr:cNvPr>
        <xdr:cNvSpPr/>
      </xdr:nvSpPr>
      <xdr:spPr>
        <a:xfrm>
          <a:off x="6181725" y="1381125"/>
          <a:ext cx="5086350" cy="306705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371474</xdr:colOff>
      <xdr:row>7</xdr:row>
      <xdr:rowOff>47624</xdr:rowOff>
    </xdr:from>
    <xdr:to>
      <xdr:col>27</xdr:col>
      <xdr:colOff>609599</xdr:colOff>
      <xdr:row>23</xdr:row>
      <xdr:rowOff>57149</xdr:rowOff>
    </xdr:to>
    <xdr:sp macro="" textlink="">
      <xdr:nvSpPr>
        <xdr:cNvPr id="10" name="Rectangle: Rounded Corners 9">
          <a:extLst>
            <a:ext uri="{FF2B5EF4-FFF2-40B4-BE49-F238E27FC236}">
              <a16:creationId xmlns:a16="http://schemas.microsoft.com/office/drawing/2014/main" id="{DF62FD7F-36EC-4015-90DB-154F15CD5017}"/>
            </a:ext>
          </a:extLst>
        </xdr:cNvPr>
        <xdr:cNvSpPr/>
      </xdr:nvSpPr>
      <xdr:spPr>
        <a:xfrm>
          <a:off x="11344274" y="1381124"/>
          <a:ext cx="5724525" cy="3057525"/>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276225</xdr:colOff>
      <xdr:row>7</xdr:row>
      <xdr:rowOff>180975</xdr:rowOff>
    </xdr:from>
    <xdr:to>
      <xdr:col>18</xdr:col>
      <xdr:colOff>123824</xdr:colOff>
      <xdr:row>22</xdr:row>
      <xdr:rowOff>66675</xdr:rowOff>
    </xdr:to>
    <xdr:graphicFrame macro="">
      <xdr:nvGraphicFramePr>
        <xdr:cNvPr id="14" name="Chart 13">
          <a:extLst>
            <a:ext uri="{FF2B5EF4-FFF2-40B4-BE49-F238E27FC236}">
              <a16:creationId xmlns:a16="http://schemas.microsoft.com/office/drawing/2014/main" id="{1DD5B1A5-01EF-4E4E-B133-9D16D385A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24</xdr:row>
      <xdr:rowOff>142875</xdr:rowOff>
    </xdr:from>
    <xdr:to>
      <xdr:col>16</xdr:col>
      <xdr:colOff>295275</xdr:colOff>
      <xdr:row>42</xdr:row>
      <xdr:rowOff>28575</xdr:rowOff>
    </xdr:to>
    <xdr:graphicFrame macro="">
      <xdr:nvGraphicFramePr>
        <xdr:cNvPr id="16" name="Chart 15">
          <a:extLst>
            <a:ext uri="{FF2B5EF4-FFF2-40B4-BE49-F238E27FC236}">
              <a16:creationId xmlns:a16="http://schemas.microsoft.com/office/drawing/2014/main" id="{42197310-0CDE-435A-B5E2-1DC3293BB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209550</xdr:colOff>
      <xdr:row>24</xdr:row>
      <xdr:rowOff>180975</xdr:rowOff>
    </xdr:from>
    <xdr:to>
      <xdr:col>27</xdr:col>
      <xdr:colOff>552450</xdr:colOff>
      <xdr:row>41</xdr:row>
      <xdr:rowOff>161925</xdr:rowOff>
    </xdr:to>
    <xdr:graphicFrame macro="">
      <xdr:nvGraphicFramePr>
        <xdr:cNvPr id="18" name="Chart 17">
          <a:extLst>
            <a:ext uri="{FF2B5EF4-FFF2-40B4-BE49-F238E27FC236}">
              <a16:creationId xmlns:a16="http://schemas.microsoft.com/office/drawing/2014/main" id="{A312A154-1491-4DC5-9749-B28105CE6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533400</xdr:colOff>
      <xdr:row>8</xdr:row>
      <xdr:rowOff>104774</xdr:rowOff>
    </xdr:from>
    <xdr:to>
      <xdr:col>27</xdr:col>
      <xdr:colOff>400050</xdr:colOff>
      <xdr:row>22</xdr:row>
      <xdr:rowOff>123823</xdr:rowOff>
    </xdr:to>
    <xdr:graphicFrame macro="">
      <xdr:nvGraphicFramePr>
        <xdr:cNvPr id="20" name="Chart 19">
          <a:extLst>
            <a:ext uri="{FF2B5EF4-FFF2-40B4-BE49-F238E27FC236}">
              <a16:creationId xmlns:a16="http://schemas.microsoft.com/office/drawing/2014/main" id="{906B554A-A4BE-44F7-B9E6-C8B450F3A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438150</xdr:colOff>
      <xdr:row>6</xdr:row>
      <xdr:rowOff>171450</xdr:rowOff>
    </xdr:from>
    <xdr:to>
      <xdr:col>7</xdr:col>
      <xdr:colOff>9525</xdr:colOff>
      <xdr:row>16</xdr:row>
      <xdr:rowOff>142875</xdr:rowOff>
    </xdr:to>
    <xdr:sp macro="" textlink="">
      <xdr:nvSpPr>
        <xdr:cNvPr id="21" name="TextBox 20">
          <a:extLst>
            <a:ext uri="{FF2B5EF4-FFF2-40B4-BE49-F238E27FC236}">
              <a16:creationId xmlns:a16="http://schemas.microsoft.com/office/drawing/2014/main" id="{9E264D06-D749-A16B-8394-9770F0F93A31}"/>
            </a:ext>
          </a:extLst>
        </xdr:cNvPr>
        <xdr:cNvSpPr txBox="1"/>
      </xdr:nvSpPr>
      <xdr:spPr>
        <a:xfrm>
          <a:off x="2266950" y="1314450"/>
          <a:ext cx="2009775" cy="18764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1">
              <a:solidFill>
                <a:schemeClr val="accent2"/>
              </a:solidFill>
            </a:rPr>
            <a:t>Total_employee</a:t>
          </a:r>
        </a:p>
        <a:p>
          <a:pPr algn="ctr"/>
          <a:endParaRPr lang="en-US" sz="2000" b="1" i="1">
            <a:solidFill>
              <a:schemeClr val="accent2"/>
            </a:solidFill>
          </a:endParaRPr>
        </a:p>
        <a:p>
          <a:pPr algn="ctr"/>
          <a:endParaRPr lang="en-US" sz="2000" b="1" i="1">
            <a:solidFill>
              <a:schemeClr val="accent2"/>
            </a:solidFill>
          </a:endParaRPr>
        </a:p>
        <a:p>
          <a:pPr algn="ctr"/>
          <a:r>
            <a:rPr lang="en-US" sz="2000" b="1" i="1">
              <a:solidFill>
                <a:schemeClr val="accent2"/>
              </a:solidFill>
            </a:rPr>
            <a:t>40</a:t>
          </a:r>
        </a:p>
        <a:p>
          <a:r>
            <a:rPr lang="en-US" sz="1100" b="0" i="0" u="none" strike="noStrike">
              <a:solidFill>
                <a:schemeClr val="dk1"/>
              </a:solidFill>
              <a:effectLst/>
              <a:latin typeface="+mn-lt"/>
              <a:ea typeface="+mn-ea"/>
              <a:cs typeface="+mn-cs"/>
            </a:rPr>
            <a:t>40</a:t>
          </a:r>
          <a:r>
            <a:rPr lang="en-US">
              <a:effectLst/>
            </a:rPr>
            <a:t> </a:t>
          </a:r>
          <a:r>
            <a:rPr lang="en-US" sz="1100" b="0" i="0" u="none" strike="noStrike">
              <a:solidFill>
                <a:schemeClr val="dk1"/>
              </a:solidFill>
              <a:effectLst/>
              <a:latin typeface="+mn-lt"/>
              <a:ea typeface="+mn-ea"/>
              <a:cs typeface="+mn-cs"/>
            </a:rPr>
            <a:t>40</a:t>
          </a:r>
          <a:r>
            <a:rPr lang="en-US">
              <a:effectLst/>
            </a:rPr>
            <a:t> </a:t>
          </a:r>
        </a:p>
        <a:p>
          <a:endParaRPr lang="en-US" sz="1100">
            <a:solidFill>
              <a:schemeClr val="accent2"/>
            </a:solidFill>
            <a:effectLst/>
          </a:endParaRPr>
        </a:p>
        <a:p>
          <a:endParaRPr lang="en-US" sz="1100">
            <a:solidFill>
              <a:schemeClr val="accent2"/>
            </a:solidFill>
          </a:endParaRPr>
        </a:p>
      </xdr:txBody>
    </xdr:sp>
    <xdr:clientData/>
  </xdr:twoCellAnchor>
  <xdr:oneCellAnchor>
    <xdr:from>
      <xdr:col>3</xdr:col>
      <xdr:colOff>428625</xdr:colOff>
      <xdr:row>16</xdr:row>
      <xdr:rowOff>180975</xdr:rowOff>
    </xdr:from>
    <xdr:ext cx="3867150" cy="1314450"/>
    <xdr:sp macro="" textlink="">
      <xdr:nvSpPr>
        <xdr:cNvPr id="25" name="TextBox 24">
          <a:extLst>
            <a:ext uri="{FF2B5EF4-FFF2-40B4-BE49-F238E27FC236}">
              <a16:creationId xmlns:a16="http://schemas.microsoft.com/office/drawing/2014/main" id="{6590C8CB-638A-DA83-28EE-314E58EDC952}"/>
            </a:ext>
          </a:extLst>
        </xdr:cNvPr>
        <xdr:cNvSpPr txBox="1"/>
      </xdr:nvSpPr>
      <xdr:spPr>
        <a:xfrm>
          <a:off x="2257425" y="3228975"/>
          <a:ext cx="3867150" cy="1314450"/>
        </a:xfrm>
        <a:prstGeom prst="rect">
          <a:avLst/>
        </a:prstGeom>
        <a:solidFill>
          <a:schemeClr val="tx1"/>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000" b="0" i="0" u="none" strike="noStrike">
              <a:solidFill>
                <a:schemeClr val="accent2"/>
              </a:solidFill>
              <a:effectLst/>
              <a:latin typeface="+mn-lt"/>
              <a:ea typeface="+mn-ea"/>
              <a:cs typeface="+mn-cs"/>
            </a:rPr>
            <a:t>Active:</a:t>
          </a:r>
          <a:r>
            <a:rPr lang="en-US" sz="2000">
              <a:solidFill>
                <a:schemeClr val="accent2"/>
              </a:solidFill>
              <a:effectLst/>
            </a:rPr>
            <a:t> </a:t>
          </a:r>
          <a:r>
            <a:rPr lang="en-US" sz="2000" b="0" i="0" u="none" strike="noStrike">
              <a:solidFill>
                <a:schemeClr val="accent2"/>
              </a:solidFill>
              <a:effectLst/>
              <a:latin typeface="+mn-lt"/>
              <a:ea typeface="+mn-ea"/>
              <a:cs typeface="+mn-cs"/>
            </a:rPr>
            <a:t>32</a:t>
          </a:r>
          <a:r>
            <a:rPr lang="en-US" sz="1100" b="0" i="0" u="none" strike="noStrike">
              <a:solidFill>
                <a:schemeClr val="tx1"/>
              </a:solidFill>
              <a:effectLst/>
              <a:latin typeface="+mn-lt"/>
              <a:ea typeface="+mn-ea"/>
              <a:cs typeface="+mn-cs"/>
            </a:rPr>
            <a:t>Active</a:t>
          </a:r>
          <a:r>
            <a:rPr lang="en-US" sz="2000">
              <a:effectLst/>
            </a:rPr>
            <a:t> </a:t>
          </a:r>
          <a:r>
            <a:rPr lang="en-US" sz="1100" b="0" i="0" u="none" strike="noStrike">
              <a:solidFill>
                <a:schemeClr val="tx1"/>
              </a:solidFill>
              <a:effectLst/>
              <a:latin typeface="+mn-lt"/>
              <a:ea typeface="+mn-ea"/>
              <a:cs typeface="+mn-cs"/>
            </a:rPr>
            <a:t>32</a:t>
          </a:r>
          <a:r>
            <a:rPr lang="en-US" sz="2000">
              <a:effectLst/>
            </a:rPr>
            <a:t> </a:t>
          </a:r>
          <a:r>
            <a:rPr lang="en-US" sz="1100" b="0" i="0" u="none" strike="noStrike">
              <a:solidFill>
                <a:schemeClr val="tx1"/>
              </a:solidFill>
              <a:effectLst/>
              <a:latin typeface="+mn-lt"/>
              <a:ea typeface="+mn-ea"/>
              <a:cs typeface="+mn-cs"/>
            </a:rPr>
            <a:t>Inactive</a:t>
          </a:r>
          <a:r>
            <a:rPr lang="en-US" sz="2000">
              <a:effectLst/>
            </a:rPr>
            <a:t> </a:t>
          </a:r>
          <a:r>
            <a:rPr lang="en-US" sz="1100" b="0" i="0" u="none" strike="noStrike">
              <a:solidFill>
                <a:schemeClr val="tx1"/>
              </a:solidFill>
              <a:effectLst/>
              <a:latin typeface="+mn-lt"/>
              <a:ea typeface="+mn-ea"/>
              <a:cs typeface="+mn-cs"/>
            </a:rPr>
            <a:t>8</a:t>
          </a:r>
          <a:r>
            <a:rPr lang="en-US" sz="2000">
              <a:effectLst/>
            </a:rPr>
            <a:t> </a:t>
          </a:r>
        </a:p>
        <a:p>
          <a:pPr algn="ctr"/>
          <a:endParaRPr lang="en-US" sz="2000" b="0" i="0" u="none" strike="noStrike">
            <a:solidFill>
              <a:schemeClr val="accent2"/>
            </a:solidFill>
            <a:effectLst/>
            <a:latin typeface="+mn-lt"/>
            <a:ea typeface="+mn-ea"/>
            <a:cs typeface="+mn-cs"/>
          </a:endParaRPr>
        </a:p>
        <a:p>
          <a:pPr algn="ctr"/>
          <a:r>
            <a:rPr lang="en-US" sz="2000" b="0" i="0" u="none" strike="noStrike">
              <a:solidFill>
                <a:schemeClr val="accent2"/>
              </a:solidFill>
              <a:effectLst/>
              <a:latin typeface="+mn-lt"/>
              <a:ea typeface="+mn-ea"/>
              <a:cs typeface="+mn-cs"/>
            </a:rPr>
            <a:t>Inactive:</a:t>
          </a:r>
          <a:r>
            <a:rPr lang="en-US" sz="2000">
              <a:solidFill>
                <a:schemeClr val="accent2"/>
              </a:solidFill>
              <a:effectLst/>
            </a:rPr>
            <a:t> </a:t>
          </a:r>
          <a:r>
            <a:rPr lang="en-US" sz="2000" b="0" i="0" u="none" strike="noStrike">
              <a:solidFill>
                <a:schemeClr val="accent2"/>
              </a:solidFill>
              <a:effectLst/>
              <a:latin typeface="+mn-lt"/>
              <a:ea typeface="+mn-ea"/>
              <a:cs typeface="+mn-cs"/>
            </a:rPr>
            <a:t>8</a:t>
          </a:r>
          <a:r>
            <a:rPr lang="en-US" sz="2000">
              <a:solidFill>
                <a:schemeClr val="accent2"/>
              </a:solidFill>
              <a:effectLst/>
            </a:rPr>
            <a:t> </a:t>
          </a:r>
          <a:endParaRPr lang="en-US" sz="2000">
            <a:solidFill>
              <a:schemeClr val="accent2"/>
            </a:solidFill>
          </a:endParaRPr>
        </a:p>
      </xdr:txBody>
    </xdr:sp>
    <xdr:clientData/>
  </xdr:oneCellAnchor>
  <xdr:twoCellAnchor>
    <xdr:from>
      <xdr:col>7</xdr:col>
      <xdr:colOff>38101</xdr:colOff>
      <xdr:row>6</xdr:row>
      <xdr:rowOff>171450</xdr:rowOff>
    </xdr:from>
    <xdr:to>
      <xdr:col>10</xdr:col>
      <xdr:colOff>38100</xdr:colOff>
      <xdr:row>16</xdr:row>
      <xdr:rowOff>142875</xdr:rowOff>
    </xdr:to>
    <xdr:sp macro="" textlink="">
      <xdr:nvSpPr>
        <xdr:cNvPr id="27" name="TextBox 26">
          <a:extLst>
            <a:ext uri="{FF2B5EF4-FFF2-40B4-BE49-F238E27FC236}">
              <a16:creationId xmlns:a16="http://schemas.microsoft.com/office/drawing/2014/main" id="{E93E9353-E366-42A2-A22B-2C42D23FDECF}"/>
            </a:ext>
          </a:extLst>
        </xdr:cNvPr>
        <xdr:cNvSpPr txBox="1"/>
      </xdr:nvSpPr>
      <xdr:spPr>
        <a:xfrm>
          <a:off x="4305301" y="1314450"/>
          <a:ext cx="1828799" cy="18764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1">
              <a:solidFill>
                <a:schemeClr val="accent2"/>
              </a:solidFill>
            </a:rPr>
            <a:t>Total_Balance</a:t>
          </a:r>
        </a:p>
        <a:p>
          <a:pPr algn="ctr"/>
          <a:endParaRPr lang="en-US" sz="2000" b="1" i="1">
            <a:solidFill>
              <a:schemeClr val="accent2"/>
            </a:solidFill>
          </a:endParaRPr>
        </a:p>
        <a:p>
          <a:pPr algn="ctr"/>
          <a:endParaRPr lang="en-US" sz="2000" b="1" i="1">
            <a:solidFill>
              <a:schemeClr val="accent2"/>
            </a:solidFill>
          </a:endParaRPr>
        </a:p>
        <a:p>
          <a:pPr algn="ctr"/>
          <a:r>
            <a:rPr lang="en-US" sz="2000" b="1" i="1">
              <a:solidFill>
                <a:schemeClr val="accent2"/>
              </a:solidFill>
            </a:rPr>
            <a:t>1535000</a:t>
          </a:r>
        </a:p>
      </xdr:txBody>
    </xdr:sp>
    <xdr:clientData/>
  </xdr:twoCellAnchor>
  <xdr:twoCellAnchor editAs="oneCell">
    <xdr:from>
      <xdr:col>0</xdr:col>
      <xdr:colOff>123825</xdr:colOff>
      <xdr:row>16</xdr:row>
      <xdr:rowOff>19050</xdr:rowOff>
    </xdr:from>
    <xdr:to>
      <xdr:col>3</xdr:col>
      <xdr:colOff>209550</xdr:colOff>
      <xdr:row>42</xdr:row>
      <xdr:rowOff>104775</xdr:rowOff>
    </xdr:to>
    <mc:AlternateContent xmlns:mc="http://schemas.openxmlformats.org/markup-compatibility/2006" xmlns:a14="http://schemas.microsoft.com/office/drawing/2010/main">
      <mc:Choice Requires="a14">
        <xdr:graphicFrame macro="">
          <xdr:nvGraphicFramePr>
            <xdr:cNvPr id="28" name="customer_name 3">
              <a:extLst>
                <a:ext uri="{FF2B5EF4-FFF2-40B4-BE49-F238E27FC236}">
                  <a16:creationId xmlns:a16="http://schemas.microsoft.com/office/drawing/2014/main" id="{D983D13E-A108-8196-874A-1342F893A592}"/>
                </a:ext>
              </a:extLst>
            </xdr:cNvPr>
            <xdr:cNvGraphicFramePr/>
          </xdr:nvGraphicFramePr>
          <xdr:xfrm>
            <a:off x="0" y="0"/>
            <a:ext cx="0" cy="0"/>
          </xdr:xfrm>
          <a:graphic>
            <a:graphicData uri="http://schemas.microsoft.com/office/drawing/2010/slicer">
              <sle:slicer xmlns:sle="http://schemas.microsoft.com/office/drawing/2010/slicer" name="customer_name 3"/>
            </a:graphicData>
          </a:graphic>
        </xdr:graphicFrame>
      </mc:Choice>
      <mc:Fallback xmlns="">
        <xdr:sp macro="" textlink="">
          <xdr:nvSpPr>
            <xdr:cNvPr id="0" name=""/>
            <xdr:cNvSpPr>
              <a:spLocks noTextEdit="1"/>
            </xdr:cNvSpPr>
          </xdr:nvSpPr>
          <xdr:spPr>
            <a:xfrm>
              <a:off x="123825" y="3067050"/>
              <a:ext cx="1914525" cy="503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0</xdr:row>
      <xdr:rowOff>171451</xdr:rowOff>
    </xdr:from>
    <xdr:to>
      <xdr:col>3</xdr:col>
      <xdr:colOff>209550</xdr:colOff>
      <xdr:row>7</xdr:row>
      <xdr:rowOff>57151</xdr:rowOff>
    </xdr:to>
    <mc:AlternateContent xmlns:mc="http://schemas.openxmlformats.org/markup-compatibility/2006" xmlns:a14="http://schemas.microsoft.com/office/drawing/2010/main">
      <mc:Choice Requires="a14">
        <xdr:graphicFrame macro="">
          <xdr:nvGraphicFramePr>
            <xdr:cNvPr id="29" name="transaction_date">
              <a:extLst>
                <a:ext uri="{FF2B5EF4-FFF2-40B4-BE49-F238E27FC236}">
                  <a16:creationId xmlns:a16="http://schemas.microsoft.com/office/drawing/2014/main" id="{A6A15F5B-05E3-CDED-3465-FFF64C3E2CA2}"/>
                </a:ext>
              </a:extLst>
            </xdr:cNvPr>
            <xdr:cNvGraphicFramePr/>
          </xdr:nvGraphicFramePr>
          <xdr:xfrm>
            <a:off x="0" y="0"/>
            <a:ext cx="0" cy="0"/>
          </xdr:xfrm>
          <a:graphic>
            <a:graphicData uri="http://schemas.microsoft.com/office/drawing/2010/slicer">
              <sle:slicer xmlns:sle="http://schemas.microsoft.com/office/drawing/2010/slicer" name="transaction_date"/>
            </a:graphicData>
          </a:graphic>
        </xdr:graphicFrame>
      </mc:Choice>
      <mc:Fallback xmlns="">
        <xdr:sp macro="" textlink="">
          <xdr:nvSpPr>
            <xdr:cNvPr id="0" name=""/>
            <xdr:cNvSpPr>
              <a:spLocks noTextEdit="1"/>
            </xdr:cNvSpPr>
          </xdr:nvSpPr>
          <xdr:spPr>
            <a:xfrm>
              <a:off x="171450" y="171451"/>
              <a:ext cx="18669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7</xdr:row>
      <xdr:rowOff>66675</xdr:rowOff>
    </xdr:from>
    <xdr:to>
      <xdr:col>3</xdr:col>
      <xdr:colOff>209550</xdr:colOff>
      <xdr:row>16</xdr:row>
      <xdr:rowOff>38100</xdr:rowOff>
    </xdr:to>
    <mc:AlternateContent xmlns:mc="http://schemas.openxmlformats.org/markup-compatibility/2006" xmlns:a14="http://schemas.microsoft.com/office/drawing/2010/main">
      <mc:Choice Requires="a14">
        <xdr:graphicFrame macro="">
          <xdr:nvGraphicFramePr>
            <xdr:cNvPr id="30" name="branch_name">
              <a:extLst>
                <a:ext uri="{FF2B5EF4-FFF2-40B4-BE49-F238E27FC236}">
                  <a16:creationId xmlns:a16="http://schemas.microsoft.com/office/drawing/2014/main" id="{D478844D-7B16-1302-7C7C-3C895E495DF1}"/>
                </a:ext>
              </a:extLst>
            </xdr:cNvPr>
            <xdr:cNvGraphicFramePr/>
          </xdr:nvGraphicFramePr>
          <xdr:xfrm>
            <a:off x="0" y="0"/>
            <a:ext cx="0" cy="0"/>
          </xdr:xfrm>
          <a:graphic>
            <a:graphicData uri="http://schemas.microsoft.com/office/drawing/2010/slicer">
              <sle:slicer xmlns:sle="http://schemas.microsoft.com/office/drawing/2010/slicer" name="branch_name"/>
            </a:graphicData>
          </a:graphic>
        </xdr:graphicFrame>
      </mc:Choice>
      <mc:Fallback xmlns="">
        <xdr:sp macro="" textlink="">
          <xdr:nvSpPr>
            <xdr:cNvPr id="0" name=""/>
            <xdr:cNvSpPr>
              <a:spLocks noTextEdit="1"/>
            </xdr:cNvSpPr>
          </xdr:nvSpPr>
          <xdr:spPr>
            <a:xfrm>
              <a:off x="133350" y="1400175"/>
              <a:ext cx="1905000"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85725</xdr:colOff>
      <xdr:row>0</xdr:row>
      <xdr:rowOff>57150</xdr:rowOff>
    </xdr:from>
    <xdr:to>
      <xdr:col>28</xdr:col>
      <xdr:colOff>123825</xdr:colOff>
      <xdr:row>6</xdr:row>
      <xdr:rowOff>142875</xdr:rowOff>
    </xdr:to>
    <xdr:sp macro="" textlink="">
      <xdr:nvSpPr>
        <xdr:cNvPr id="2" name="Rectangle: Rounded Corners 1">
          <a:extLst>
            <a:ext uri="{FF2B5EF4-FFF2-40B4-BE49-F238E27FC236}">
              <a16:creationId xmlns:a16="http://schemas.microsoft.com/office/drawing/2014/main" id="{78C9A926-23DC-6AD2-5DFE-FE6D0EFCFBD0}"/>
            </a:ext>
          </a:extLst>
        </xdr:cNvPr>
        <xdr:cNvSpPr/>
      </xdr:nvSpPr>
      <xdr:spPr>
        <a:xfrm>
          <a:off x="85725" y="57150"/>
          <a:ext cx="17106900" cy="1228725"/>
        </a:xfrm>
        <a:prstGeom prst="roundRect">
          <a:avLst/>
        </a:pr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600" b="1" i="1">
              <a:solidFill>
                <a:schemeClr val="bg1"/>
              </a:solidFill>
            </a:rPr>
            <a:t>Sales Performance Analysis DashBoard</a:t>
          </a:r>
        </a:p>
      </xdr:txBody>
    </xdr:sp>
    <xdr:clientData/>
  </xdr:twoCellAnchor>
  <xdr:twoCellAnchor>
    <xdr:from>
      <xdr:col>0</xdr:col>
      <xdr:colOff>85726</xdr:colOff>
      <xdr:row>7</xdr:row>
      <xdr:rowOff>19051</xdr:rowOff>
    </xdr:from>
    <xdr:to>
      <xdr:col>10</xdr:col>
      <xdr:colOff>466726</xdr:colOff>
      <xdr:row>23</xdr:row>
      <xdr:rowOff>76201</xdr:rowOff>
    </xdr:to>
    <xdr:sp macro="" textlink="">
      <xdr:nvSpPr>
        <xdr:cNvPr id="3" name="Rectangle: Rounded Corners 2">
          <a:extLst>
            <a:ext uri="{FF2B5EF4-FFF2-40B4-BE49-F238E27FC236}">
              <a16:creationId xmlns:a16="http://schemas.microsoft.com/office/drawing/2014/main" id="{F3A81866-5FFE-C74B-2DB5-AB4662C1EC52}"/>
            </a:ext>
          </a:extLst>
        </xdr:cNvPr>
        <xdr:cNvSpPr/>
      </xdr:nvSpPr>
      <xdr:spPr>
        <a:xfrm>
          <a:off x="85726" y="1352551"/>
          <a:ext cx="6477000" cy="3105150"/>
        </a:xfrm>
        <a:prstGeom prst="roundRect">
          <a:avLst/>
        </a:prstGeom>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23</xdr:row>
      <xdr:rowOff>95250</xdr:rowOff>
    </xdr:from>
    <xdr:to>
      <xdr:col>11</xdr:col>
      <xdr:colOff>9525</xdr:colOff>
      <xdr:row>42</xdr:row>
      <xdr:rowOff>180975</xdr:rowOff>
    </xdr:to>
    <xdr:sp macro="" textlink="">
      <xdr:nvSpPr>
        <xdr:cNvPr id="4" name="Rectangle: Rounded Corners 3">
          <a:extLst>
            <a:ext uri="{FF2B5EF4-FFF2-40B4-BE49-F238E27FC236}">
              <a16:creationId xmlns:a16="http://schemas.microsoft.com/office/drawing/2014/main" id="{0C0A28C1-DD5D-474F-95B3-3C9CD95524F3}"/>
            </a:ext>
          </a:extLst>
        </xdr:cNvPr>
        <xdr:cNvSpPr/>
      </xdr:nvSpPr>
      <xdr:spPr>
        <a:xfrm>
          <a:off x="28575" y="4476750"/>
          <a:ext cx="6686550" cy="3705225"/>
        </a:xfrm>
        <a:prstGeom prst="roundRect">
          <a:avLst/>
        </a:prstGeom>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9524</xdr:colOff>
      <xdr:row>7</xdr:row>
      <xdr:rowOff>19050</xdr:rowOff>
    </xdr:from>
    <xdr:to>
      <xdr:col>28</xdr:col>
      <xdr:colOff>95249</xdr:colOff>
      <xdr:row>23</xdr:row>
      <xdr:rowOff>76200</xdr:rowOff>
    </xdr:to>
    <xdr:sp macro="" textlink="">
      <xdr:nvSpPr>
        <xdr:cNvPr id="5" name="Rectangle: Rounded Corners 4">
          <a:extLst>
            <a:ext uri="{FF2B5EF4-FFF2-40B4-BE49-F238E27FC236}">
              <a16:creationId xmlns:a16="http://schemas.microsoft.com/office/drawing/2014/main" id="{F651C7D1-2120-4809-95BB-9E9142749A0D}"/>
            </a:ext>
          </a:extLst>
        </xdr:cNvPr>
        <xdr:cNvSpPr/>
      </xdr:nvSpPr>
      <xdr:spPr>
        <a:xfrm>
          <a:off x="11591924" y="1352550"/>
          <a:ext cx="5572125" cy="3105150"/>
        </a:xfrm>
        <a:prstGeom prst="roundRect">
          <a:avLst/>
        </a:prstGeom>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47626</xdr:colOff>
      <xdr:row>23</xdr:row>
      <xdr:rowOff>85725</xdr:rowOff>
    </xdr:from>
    <xdr:to>
      <xdr:col>21</xdr:col>
      <xdr:colOff>238126</xdr:colOff>
      <xdr:row>42</xdr:row>
      <xdr:rowOff>95250</xdr:rowOff>
    </xdr:to>
    <xdr:sp macro="" textlink="">
      <xdr:nvSpPr>
        <xdr:cNvPr id="6" name="Rectangle: Rounded Corners 5">
          <a:extLst>
            <a:ext uri="{FF2B5EF4-FFF2-40B4-BE49-F238E27FC236}">
              <a16:creationId xmlns:a16="http://schemas.microsoft.com/office/drawing/2014/main" id="{E944F977-5E23-4AB8-B7B4-1AFD670AB711}"/>
            </a:ext>
          </a:extLst>
        </xdr:cNvPr>
        <xdr:cNvSpPr/>
      </xdr:nvSpPr>
      <xdr:spPr>
        <a:xfrm>
          <a:off x="6753226" y="4467225"/>
          <a:ext cx="6286500" cy="3629025"/>
        </a:xfrm>
        <a:prstGeom prst="roundRect">
          <a:avLst/>
        </a:prstGeom>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219075</xdr:colOff>
      <xdr:row>8</xdr:row>
      <xdr:rowOff>9526</xdr:rowOff>
    </xdr:from>
    <xdr:to>
      <xdr:col>10</xdr:col>
      <xdr:colOff>333374</xdr:colOff>
      <xdr:row>22</xdr:row>
      <xdr:rowOff>85726</xdr:rowOff>
    </xdr:to>
    <xdr:graphicFrame macro="">
      <xdr:nvGraphicFramePr>
        <xdr:cNvPr id="8" name="Chart 7">
          <a:extLst>
            <a:ext uri="{FF2B5EF4-FFF2-40B4-BE49-F238E27FC236}">
              <a16:creationId xmlns:a16="http://schemas.microsoft.com/office/drawing/2014/main" id="{1A5195DB-2727-4B24-B7A7-4289DA8F3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257175</xdr:colOff>
      <xdr:row>7</xdr:row>
      <xdr:rowOff>133350</xdr:rowOff>
    </xdr:from>
    <xdr:to>
      <xdr:col>27</xdr:col>
      <xdr:colOff>514350</xdr:colOff>
      <xdr:row>22</xdr:row>
      <xdr:rowOff>152400</xdr:rowOff>
    </xdr:to>
    <xdr:graphicFrame macro="">
      <xdr:nvGraphicFramePr>
        <xdr:cNvPr id="10" name="Chart 9">
          <a:extLst>
            <a:ext uri="{FF2B5EF4-FFF2-40B4-BE49-F238E27FC236}">
              <a16:creationId xmlns:a16="http://schemas.microsoft.com/office/drawing/2014/main" id="{934E3C64-9C83-45EF-BD02-752FCF7CD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266699</xdr:colOff>
      <xdr:row>24</xdr:row>
      <xdr:rowOff>104775</xdr:rowOff>
    </xdr:from>
    <xdr:to>
      <xdr:col>10</xdr:col>
      <xdr:colOff>419100</xdr:colOff>
      <xdr:row>41</xdr:row>
      <xdr:rowOff>171450</xdr:rowOff>
    </xdr:to>
    <xdr:graphicFrame macro="">
      <xdr:nvGraphicFramePr>
        <xdr:cNvPr id="12" name="Chart 11">
          <a:extLst>
            <a:ext uri="{FF2B5EF4-FFF2-40B4-BE49-F238E27FC236}">
              <a16:creationId xmlns:a16="http://schemas.microsoft.com/office/drawing/2014/main" id="{2CF4F7E4-4D7F-4489-B8F0-1C9751722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390525</xdr:colOff>
      <xdr:row>23</xdr:row>
      <xdr:rowOff>180975</xdr:rowOff>
    </xdr:from>
    <xdr:to>
      <xdr:col>20</xdr:col>
      <xdr:colOff>476250</xdr:colOff>
      <xdr:row>42</xdr:row>
      <xdr:rowOff>28575</xdr:rowOff>
    </xdr:to>
    <xdr:graphicFrame macro="">
      <xdr:nvGraphicFramePr>
        <xdr:cNvPr id="14" name="Chart 13">
          <a:extLst>
            <a:ext uri="{FF2B5EF4-FFF2-40B4-BE49-F238E27FC236}">
              <a16:creationId xmlns:a16="http://schemas.microsoft.com/office/drawing/2014/main" id="{0EC4069C-D54D-40FE-BA1E-A42BEC9AA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257175</xdr:colOff>
      <xdr:row>23</xdr:row>
      <xdr:rowOff>152400</xdr:rowOff>
    </xdr:from>
    <xdr:to>
      <xdr:col>24</xdr:col>
      <xdr:colOff>257175</xdr:colOff>
      <xdr:row>28</xdr:row>
      <xdr:rowOff>85725</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75BFA7DF-85CF-3536-F50E-1EC92A37F2C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058775" y="4533900"/>
              <a:ext cx="1828800"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276225</xdr:colOff>
      <xdr:row>36</xdr:row>
      <xdr:rowOff>161926</xdr:rowOff>
    </xdr:from>
    <xdr:to>
      <xdr:col>28</xdr:col>
      <xdr:colOff>133350</xdr:colOff>
      <xdr:row>42</xdr:row>
      <xdr:rowOff>171450</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24852FCE-1A04-0753-D18E-F8EE0654192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077825" y="7019926"/>
              <a:ext cx="4124325" cy="1152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276225</xdr:colOff>
      <xdr:row>28</xdr:row>
      <xdr:rowOff>28576</xdr:rowOff>
    </xdr:from>
    <xdr:to>
      <xdr:col>24</xdr:col>
      <xdr:colOff>276225</xdr:colOff>
      <xdr:row>36</xdr:row>
      <xdr:rowOff>161926</xdr:rowOff>
    </xdr:to>
    <mc:AlternateContent xmlns:mc="http://schemas.openxmlformats.org/markup-compatibility/2006" xmlns:a14="http://schemas.microsoft.com/office/drawing/2010/main">
      <mc:Choice Requires="a14">
        <xdr:graphicFrame macro="">
          <xdr:nvGraphicFramePr>
            <xdr:cNvPr id="18" name="sale_date">
              <a:extLst>
                <a:ext uri="{FF2B5EF4-FFF2-40B4-BE49-F238E27FC236}">
                  <a16:creationId xmlns:a16="http://schemas.microsoft.com/office/drawing/2014/main" id="{E9D80A1A-A862-2188-AA39-86495F6BEF97}"/>
                </a:ext>
              </a:extLst>
            </xdr:cNvPr>
            <xdr:cNvGraphicFramePr/>
          </xdr:nvGraphicFramePr>
          <xdr:xfrm>
            <a:off x="0" y="0"/>
            <a:ext cx="0" cy="0"/>
          </xdr:xfrm>
          <a:graphic>
            <a:graphicData uri="http://schemas.microsoft.com/office/drawing/2010/slicer">
              <sle:slicer xmlns:sle="http://schemas.microsoft.com/office/drawing/2010/slicer" name="sale_date"/>
            </a:graphicData>
          </a:graphic>
        </xdr:graphicFrame>
      </mc:Choice>
      <mc:Fallback xmlns="">
        <xdr:sp macro="" textlink="">
          <xdr:nvSpPr>
            <xdr:cNvPr id="0" name=""/>
            <xdr:cNvSpPr>
              <a:spLocks noTextEdit="1"/>
            </xdr:cNvSpPr>
          </xdr:nvSpPr>
          <xdr:spPr>
            <a:xfrm>
              <a:off x="13077825" y="5362576"/>
              <a:ext cx="1828800"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276224</xdr:colOff>
      <xdr:row>23</xdr:row>
      <xdr:rowOff>161925</xdr:rowOff>
    </xdr:from>
    <xdr:to>
      <xdr:col>28</xdr:col>
      <xdr:colOff>57149</xdr:colOff>
      <xdr:row>37</xdr:row>
      <xdr:rowOff>19050</xdr:rowOff>
    </xdr:to>
    <mc:AlternateContent xmlns:mc="http://schemas.openxmlformats.org/markup-compatibility/2006" xmlns:a14="http://schemas.microsoft.com/office/drawing/2010/main">
      <mc:Choice Requires="a14">
        <xdr:graphicFrame macro="">
          <xdr:nvGraphicFramePr>
            <xdr:cNvPr id="19" name="customer_name 4">
              <a:extLst>
                <a:ext uri="{FF2B5EF4-FFF2-40B4-BE49-F238E27FC236}">
                  <a16:creationId xmlns:a16="http://schemas.microsoft.com/office/drawing/2014/main" id="{686609A8-2793-F87F-79EA-DFA3DB8774E2}"/>
                </a:ext>
              </a:extLst>
            </xdr:cNvPr>
            <xdr:cNvGraphicFramePr/>
          </xdr:nvGraphicFramePr>
          <xdr:xfrm>
            <a:off x="0" y="0"/>
            <a:ext cx="0" cy="0"/>
          </xdr:xfrm>
          <a:graphic>
            <a:graphicData uri="http://schemas.microsoft.com/office/drawing/2010/slicer">
              <sle:slicer xmlns:sle="http://schemas.microsoft.com/office/drawing/2010/slicer" name="customer_name 4"/>
            </a:graphicData>
          </a:graphic>
        </xdr:graphicFrame>
      </mc:Choice>
      <mc:Fallback xmlns="">
        <xdr:sp macro="" textlink="">
          <xdr:nvSpPr>
            <xdr:cNvPr id="0" name=""/>
            <xdr:cNvSpPr>
              <a:spLocks noTextEdit="1"/>
            </xdr:cNvSpPr>
          </xdr:nvSpPr>
          <xdr:spPr>
            <a:xfrm>
              <a:off x="14906624" y="4543425"/>
              <a:ext cx="22193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514351</xdr:colOff>
      <xdr:row>6</xdr:row>
      <xdr:rowOff>180976</xdr:rowOff>
    </xdr:from>
    <xdr:to>
      <xdr:col>18</xdr:col>
      <xdr:colOff>600075</xdr:colOff>
      <xdr:row>15</xdr:row>
      <xdr:rowOff>76200</xdr:rowOff>
    </xdr:to>
    <xdr:sp macro="" textlink="">
      <xdr:nvSpPr>
        <xdr:cNvPr id="20" name="Rectangle: Rounded Corners 19">
          <a:extLst>
            <a:ext uri="{FF2B5EF4-FFF2-40B4-BE49-F238E27FC236}">
              <a16:creationId xmlns:a16="http://schemas.microsoft.com/office/drawing/2014/main" id="{A792DA26-5010-4373-8A3F-7B66F29B13A1}"/>
            </a:ext>
          </a:extLst>
        </xdr:cNvPr>
        <xdr:cNvSpPr/>
      </xdr:nvSpPr>
      <xdr:spPr>
        <a:xfrm>
          <a:off x="6610351" y="1323976"/>
          <a:ext cx="4962524" cy="1609724"/>
        </a:xfrm>
        <a:prstGeom prst="roundRect">
          <a:avLst/>
        </a:pr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1"/>
            <a:t>Total_sales</a:t>
          </a:r>
        </a:p>
        <a:p>
          <a:pPr algn="ctr"/>
          <a:endParaRPr lang="en-US" sz="2800" b="1" i="1"/>
        </a:p>
        <a:p>
          <a:pPr algn="ctr"/>
          <a:r>
            <a:rPr lang="en-US" sz="2800" b="1" i="1"/>
            <a:t>140</a:t>
          </a:r>
          <a:endParaRPr lang="en-US" sz="1100" b="1" i="1"/>
        </a:p>
      </xdr:txBody>
    </xdr:sp>
    <xdr:clientData/>
  </xdr:twoCellAnchor>
  <xdr:twoCellAnchor>
    <xdr:from>
      <xdr:col>10</xdr:col>
      <xdr:colOff>523874</xdr:colOff>
      <xdr:row>15</xdr:row>
      <xdr:rowOff>114299</xdr:rowOff>
    </xdr:from>
    <xdr:to>
      <xdr:col>18</xdr:col>
      <xdr:colOff>590549</xdr:colOff>
      <xdr:row>23</xdr:row>
      <xdr:rowOff>66674</xdr:rowOff>
    </xdr:to>
    <xdr:sp macro="" textlink="">
      <xdr:nvSpPr>
        <xdr:cNvPr id="21" name="Rectangle: Rounded Corners 20">
          <a:extLst>
            <a:ext uri="{FF2B5EF4-FFF2-40B4-BE49-F238E27FC236}">
              <a16:creationId xmlns:a16="http://schemas.microsoft.com/office/drawing/2014/main" id="{0129B570-FB43-4A57-A1D5-B40FCD9F34ED}"/>
            </a:ext>
          </a:extLst>
        </xdr:cNvPr>
        <xdr:cNvSpPr/>
      </xdr:nvSpPr>
      <xdr:spPr>
        <a:xfrm>
          <a:off x="6619874" y="2971799"/>
          <a:ext cx="4943475" cy="1476375"/>
        </a:xfrm>
        <a:prstGeom prst="roundRect">
          <a:avLst/>
        </a:pr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1"/>
            <a:t>Total_Profit</a:t>
          </a:r>
        </a:p>
        <a:p>
          <a:pPr algn="ctr"/>
          <a:endParaRPr lang="en-US" sz="2400" b="1" i="1"/>
        </a:p>
        <a:p>
          <a:pPr algn="ctr"/>
          <a:r>
            <a:rPr lang="en-US" sz="2400" b="1" i="1"/>
            <a:t>406500</a:t>
          </a:r>
          <a:endParaRPr lang="en-US" sz="1100" b="1" i="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5950.401024189814" createdVersion="8" refreshedVersion="8" minRefreshableVersion="3" recordCount="10" xr:uid="{E483C2FA-71A3-413B-BB2B-F3E6C279C792}">
  <cacheSource type="worksheet">
    <worksheetSource ref="A1:H11" sheet="Sheet6"/>
  </cacheSource>
  <cacheFields count="8">
    <cacheField name="SL No" numFmtId="0">
      <sharedItems containsSemiMixedTypes="0" containsString="0" containsNumber="1" containsInteger="1" minValue="1" maxValue="10"/>
    </cacheField>
    <cacheField name="Name" numFmtId="0">
      <sharedItems count="10">
        <s v="Abu Bakker"/>
        <s v="Siddik"/>
        <s v="Shoan"/>
        <s v="Rana"/>
        <s v="Shakib"/>
        <s v="Somun"/>
        <s v="Arafat"/>
        <s v="Tamim"/>
        <s v="Rakib"/>
        <s v="Rohan"/>
      </sharedItems>
    </cacheField>
    <cacheField name="Month" numFmtId="0">
      <sharedItems count="10">
        <s v="January"/>
        <s v="February"/>
        <s v="March"/>
        <s v="April"/>
        <s v="May"/>
        <s v="June"/>
        <s v="July"/>
        <s v="August"/>
        <s v="September"/>
        <s v="October"/>
      </sharedItems>
    </cacheField>
    <cacheField name="ID " numFmtId="0">
      <sharedItems containsSemiMixedTypes="0" containsString="0" containsNumber="1" containsInteger="1" minValue="5437" maxValue="9388"/>
    </cacheField>
    <cacheField name="Day" numFmtId="0">
      <sharedItems count="7">
        <s v="Saturday"/>
        <s v="Sunday"/>
        <s v="Monday"/>
        <s v="Tuesday"/>
        <s v="Wednesday"/>
        <s v="Thursday"/>
        <s v="Friday"/>
      </sharedItems>
    </cacheField>
    <cacheField name="Sales Value1" numFmtId="164">
      <sharedItems containsSemiMixedTypes="0" containsString="0" containsNumber="1" containsInteger="1" minValue="200" maxValue="1100"/>
    </cacheField>
    <cacheField name="Sales Value2" numFmtId="164">
      <sharedItems containsSemiMixedTypes="0" containsString="0" containsNumber="1" containsInteger="1" minValue="1000" maxValue="10000"/>
    </cacheField>
    <cacheField name="Bonus(yes/No)" numFmtId="0">
      <sharedItems containsMixedTypes="1" containsNumber="1" containsInteger="1" minValue="0" maxValue="0" count="3">
        <n v="0"/>
        <s v="yes"/>
        <s v="No"/>
      </sharedItems>
    </cacheField>
  </cacheFields>
  <extLst>
    <ext xmlns:x14="http://schemas.microsoft.com/office/spreadsheetml/2009/9/main" uri="{725AE2AE-9491-48be-B2B4-4EB974FC3084}">
      <x14:pivotCacheDefinition pivotCacheId="18741232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7.680376851851" createdVersion="8" refreshedVersion="8" minRefreshableVersion="3" recordCount="20" xr:uid="{FD406AD1-3C8D-445E-A7F8-50FAB3EF1CA6}">
  <cacheSource type="worksheet">
    <worksheetSource ref="A1:I21" sheet="Sales &amp; revenue"/>
  </cacheSource>
  <cacheFields count="9">
    <cacheField name="NAME" numFmtId="0">
      <sharedItems count="20">
        <s v="Arafat"/>
        <s v="Rafi"/>
        <s v="Sumi"/>
        <s v="Shakib"/>
        <s v="Sumon"/>
        <s v="Rana"/>
        <s v="Nafiz"/>
        <s v="Sheol"/>
        <s v="Abu Saib"/>
        <s v="Tamim"/>
        <s v="Rahim"/>
        <s v="Karim"/>
        <s v="Hasan"/>
        <s v="Imran"/>
        <s v="Sabbir"/>
        <s v="Nayeem"/>
        <s v="Fahim"/>
        <s v="Siam"/>
        <s v="Mahmud"/>
        <s v="Jubayer"/>
      </sharedItems>
    </cacheField>
    <cacheField name="subject_name" numFmtId="0">
      <sharedItems count="20">
        <s v="Mathematics"/>
        <s v="English"/>
        <s v="Physics"/>
        <s v="Chemistry"/>
        <s v="Biology"/>
        <s v="Computer Science"/>
        <s v="Data Science"/>
        <s v="Statistics"/>
        <s v="Economics"/>
        <s v="Accounting"/>
        <s v="Management"/>
        <s v="Finance"/>
        <s v="Marketing"/>
        <s v="History"/>
        <s v="Geography"/>
        <s v="ICT"/>
        <s v="Programming"/>
        <s v="AI Basics"/>
        <s v="Machine Learning"/>
        <s v="Database Systems"/>
      </sharedItems>
    </cacheField>
    <cacheField name="marks" numFmtId="0">
      <sharedItems containsSemiMixedTypes="0" containsString="0" containsNumber="1" containsInteger="1" minValue="67" maxValue="95"/>
    </cacheField>
    <cacheField name="total_marks" numFmtId="0">
      <sharedItems containsSemiMixedTypes="0" containsString="0" containsNumber="1" containsInteger="1" minValue="67" maxValue="95"/>
    </cacheField>
    <cacheField name="rank" numFmtId="0">
      <sharedItems containsSemiMixedTypes="0" containsString="0" containsNumber="1" containsInteger="1" minValue="1" maxValue="20" count="19">
        <n v="1"/>
        <n v="2"/>
        <n v="3"/>
        <n v="4"/>
        <n v="6"/>
        <n v="7"/>
        <n v="8"/>
        <n v="9"/>
        <n v="10"/>
        <n v="11"/>
        <n v="12"/>
        <n v="13"/>
        <n v="14"/>
        <n v="15"/>
        <n v="16"/>
        <n v="17"/>
        <n v="18"/>
        <n v="19"/>
        <n v="20"/>
      </sharedItems>
    </cacheField>
    <cacheField name="Top_student" numFmtId="0">
      <sharedItems containsBlank="1" count="4">
        <s v="Fahim"/>
        <s v="Nayeem"/>
        <s v="Rana"/>
        <m/>
      </sharedItems>
    </cacheField>
    <cacheField name="Top_student_score" numFmtId="0">
      <sharedItems containsString="0" containsBlank="1" containsNumber="1" containsInteger="1" minValue="91" maxValue="95" count="4">
        <n v="95"/>
        <n v="92"/>
        <n v="91"/>
        <m/>
      </sharedItems>
    </cacheField>
    <cacheField name="Avg_marks" numFmtId="0">
      <sharedItems containsSemiMixedTypes="0" containsString="0" containsNumber="1" containsInteger="1" minValue="67" maxValue="95"/>
    </cacheField>
    <cacheField name="contribution_percentage" numFmtId="0">
      <sharedItems containsSemiMixedTypes="0" containsString="0" containsNumber="1" minValue="4.13" maxValue="5.85"/>
    </cacheField>
  </cacheFields>
  <extLst>
    <ext xmlns:x14="http://schemas.microsoft.com/office/spreadsheetml/2009/9/main" uri="{725AE2AE-9491-48be-B2B4-4EB974FC3084}">
      <x14:pivotCacheDefinition pivotCacheId="65641270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40.902150578702" createdVersion="8" refreshedVersion="8" minRefreshableVersion="3" recordCount="20" xr:uid="{D6BB9508-E722-49BB-8A12-5ECAFA2BB06C}">
  <cacheSource type="worksheet">
    <worksheetSource ref="A1:G21" sheet="sales"/>
  </cacheSource>
  <cacheFields count="9">
    <cacheField name="Customer_name" numFmtId="0">
      <sharedItems count="18">
        <s v="Rahim"/>
        <s v="Karim"/>
        <s v="Hasan"/>
        <s v="Nafiz"/>
        <s v="Shakib"/>
        <s v="Sumon"/>
        <s v="Rana"/>
        <s v="Fahim"/>
        <s v="Nayeem"/>
        <s v="Sabbir"/>
        <s v="Arafat"/>
        <s v="Rohit"/>
        <s v="Amit"/>
        <s v="John"/>
        <s v="Michael"/>
        <s v="David"/>
        <s v="Daniel"/>
        <s v="Alex"/>
      </sharedItems>
    </cacheField>
    <cacheField name="country" numFmtId="0">
      <sharedItems count="5">
        <s v="Bangladesh"/>
        <s v="India"/>
        <s v="USA"/>
        <s v="UK"/>
        <s v="Canada"/>
      </sharedItems>
    </cacheField>
    <cacheField name="product_name," numFmtId="0">
      <sharedItems count="10">
        <s v="Laptop"/>
        <s v="Headphones"/>
        <s v="Smartphone"/>
        <s v="Bluetooth Speaker"/>
        <s v="Smart Watch"/>
        <s v="Office Chair"/>
        <s v="Study Table"/>
        <s v="Sofa Set"/>
        <s v="Bed"/>
        <s v="Bookshelf"/>
      </sharedItems>
    </cacheField>
    <cacheField name="category" numFmtId="0">
      <sharedItems/>
    </cacheField>
    <cacheField name="price" numFmtId="0">
      <sharedItems containsSemiMixedTypes="0" containsString="0" containsNumber="1" containsInteger="1" minValue="3500" maxValue="75000"/>
    </cacheField>
    <cacheField name="order_date" numFmtId="14">
      <sharedItems containsSemiMixedTypes="0" containsNonDate="0" containsDate="1" containsString="0" minDate="2024-01-05T00:00:00" maxDate="2024-04-13T00:00:00" count="18">
        <d v="2024-01-05T00:00:00"/>
        <d v="2024-01-08T00:00:00"/>
        <d v="2024-01-12T00:00:00"/>
        <d v="2024-01-15T00:00:00"/>
        <d v="2024-01-18T00:00:00"/>
        <d v="2024-02-02T00:00:00"/>
        <d v="2024-02-06T00:00:00"/>
        <d v="2024-02-10T00:00:00"/>
        <d v="2024-02-14T00:00:00"/>
        <d v="2024-02-18T00:00:00"/>
        <d v="2024-03-03T00:00:00"/>
        <d v="2024-03-07T00:00:00"/>
        <d v="2024-03-12T00:00:00"/>
        <d v="2024-03-16T00:00:00"/>
        <d v="2024-03-20T00:00:00"/>
        <d v="2024-04-04T00:00:00"/>
        <d v="2024-04-08T00:00:00"/>
        <d v="2024-04-12T00:00:00"/>
      </sharedItems>
      <fieldGroup par="8"/>
    </cacheField>
    <cacheField name="quanatity" numFmtId="0">
      <sharedItems containsSemiMixedTypes="0" containsString="0" containsNumber="1" containsInteger="1" minValue="1" maxValue="5"/>
    </cacheField>
    <cacheField name="Days (order_date)" numFmtId="0" databaseField="0">
      <fieldGroup base="5">
        <rangePr groupBy="days" startDate="2024-01-05T00:00:00" endDate="2024-04-13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3/2024"/>
        </groupItems>
      </fieldGroup>
    </cacheField>
    <cacheField name="Months (order_date)" numFmtId="0" databaseField="0">
      <fieldGroup base="5">
        <rangePr groupBy="months" startDate="2024-01-05T00:00:00" endDate="2024-04-13T00:00:00"/>
        <groupItems count="14">
          <s v="&lt;1/5/2024"/>
          <s v="Jan"/>
          <s v="Feb"/>
          <s v="Mar"/>
          <s v="Apr"/>
          <s v="May"/>
          <s v="Jun"/>
          <s v="Jul"/>
          <s v="Aug"/>
          <s v="Sep"/>
          <s v="Oct"/>
          <s v="Nov"/>
          <s v="Dec"/>
          <s v="&gt;4/13/2024"/>
        </groupItems>
      </fieldGroup>
    </cacheField>
  </cacheFields>
  <extLst>
    <ext xmlns:x14="http://schemas.microsoft.com/office/spreadsheetml/2009/9/main" uri="{725AE2AE-9491-48be-B2B4-4EB974FC3084}">
      <x14:pivotCacheDefinition pivotCacheId="90213874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45.334460995371" createdVersion="8" refreshedVersion="8" minRefreshableVersion="3" recordCount="47" xr:uid="{5D9FD96F-99A6-44ED-B45D-F8D75DDF87BA}">
  <cacheSource type="worksheet">
    <worksheetSource ref="A1:L48" sheet="Sheet11"/>
  </cacheSource>
  <cacheFields count="12">
    <cacheField name="name" numFmtId="0">
      <sharedItems count="16">
        <s v="Shakib"/>
        <s v="Rana"/>
        <s v="Fahim"/>
        <s v="Nayeem"/>
        <s v="Sumon"/>
        <s v="Hasan"/>
        <s v="Sabbir"/>
        <s v="Rafi"/>
        <s v="Arif"/>
        <s v="Mahmud"/>
        <s v="Imran"/>
        <s v="Nahid"/>
        <s v="Saif"/>
        <s v="Tamim"/>
        <s v="Siam"/>
        <s v="Foysal"/>
      </sharedItems>
    </cacheField>
    <cacheField name="Subject_name" numFmtId="0">
      <sharedItems/>
    </cacheField>
    <cacheField name="marks" numFmtId="0">
      <sharedItems containsSemiMixedTypes="0" containsString="0" containsNumber="1" containsInteger="1" minValue="65" maxValue="95"/>
    </cacheField>
    <cacheField name="name2" numFmtId="0">
      <sharedItems containsBlank="1" count="4">
        <s v="Sabbir"/>
        <s v="Siam"/>
        <s v="Fahim"/>
        <m/>
      </sharedItems>
    </cacheField>
    <cacheField name="Top_students" numFmtId="0">
      <sharedItems containsString="0" containsBlank="1" containsNumber="1" containsInteger="1" minValue="272" maxValue="277"/>
    </cacheField>
    <cacheField name="subject_name2" numFmtId="0">
      <sharedItems containsBlank="1" count="4">
        <s v="Bangla"/>
        <s v="English"/>
        <s v="Mathematics"/>
        <m/>
      </sharedItems>
    </cacheField>
    <cacheField name="avg_marks" numFmtId="0">
      <sharedItems containsString="0" containsBlank="1" containsNumber="1" minValue="77.9375" maxValue="84.4"/>
    </cacheField>
    <cacheField name="name3" numFmtId="0">
      <sharedItems containsBlank="1" count="17">
        <s v="Sabbir"/>
        <s v="Siam"/>
        <s v="Fahim"/>
        <s v="Mahmud"/>
        <s v="Shakib"/>
        <s v="Nahid"/>
        <s v="Sumon"/>
        <s v="Saif"/>
        <s v="Rafi"/>
        <s v="Tamim"/>
        <s v="Rana"/>
        <s v="Arif"/>
        <s v="Hasan"/>
        <s v="Nayeem"/>
        <s v="Imran"/>
        <s v="Foysal"/>
        <m/>
      </sharedItems>
    </cacheField>
    <cacheField name="total_marks" numFmtId="0">
      <sharedItems containsString="0" containsBlank="1" containsNumber="1" containsInteger="1" minValue="138" maxValue="277"/>
    </cacheField>
    <cacheField name="student_rank" numFmtId="0">
      <sharedItems containsString="0" containsBlank="1" containsNumber="1" containsInteger="1" minValue="1" maxValue="16" count="15">
        <n v="1"/>
        <n v="2"/>
        <n v="3"/>
        <n v="4"/>
        <n v="5"/>
        <n v="8"/>
        <n v="9"/>
        <n v="10"/>
        <n v="11"/>
        <n v="12"/>
        <n v="13"/>
        <n v="14"/>
        <n v="15"/>
        <n v="16"/>
        <m/>
      </sharedItems>
    </cacheField>
    <cacheField name="result" numFmtId="0">
      <sharedItems containsBlank="1"/>
    </cacheField>
    <cacheField name="percentage" numFmtId="0">
      <sharedItems containsString="0" containsBlank="1" containsNumber="1" containsInteger="1" minValue="100" maxValue="100"/>
    </cacheField>
  </cacheFields>
  <extLst>
    <ext xmlns:x14="http://schemas.microsoft.com/office/spreadsheetml/2009/9/main" uri="{725AE2AE-9491-48be-B2B4-4EB974FC3084}">
      <x14:pivotCacheDefinition pivotCacheId="48310774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55.84292210648" createdVersion="8" refreshedVersion="8" minRefreshableVersion="3" recordCount="40" xr:uid="{082258AE-BD97-4A36-AEFC-70EBF226ABB6}">
  <cacheSource type="worksheet">
    <worksheetSource ref="A1:P41" sheet="Banking Analysis"/>
  </cacheSource>
  <cacheFields count="16">
    <cacheField name="customer_name" numFmtId="0">
      <sharedItems count="40">
        <s v="Rahim"/>
        <s v="Karim"/>
        <s v="Salma"/>
        <s v="Nabila"/>
        <s v="Hasan"/>
        <s v="Rafi"/>
        <s v="Mitu"/>
        <s v="Sajid"/>
        <s v="Tania"/>
        <s v="Amin"/>
        <s v="Farhana"/>
        <s v="Imran"/>
        <s v="Sadia"/>
        <s v="Shuvo"/>
        <s v="Nusrat"/>
        <s v="Masud"/>
        <s v="Lamia"/>
        <s v="Arif"/>
        <s v="Rina"/>
        <s v="Jahid"/>
        <s v="Sumi"/>
        <s v="Kamal"/>
        <s v="Anika"/>
        <s v="Fahim"/>
        <s v="Rashida"/>
        <s v="Babul"/>
        <s v="Pinky"/>
        <s v="Tarek"/>
        <s v="Mariya"/>
        <s v="Nazmul"/>
        <s v="Liza"/>
        <s v="Sabbir"/>
        <s v="Mona"/>
        <s v="Rashed"/>
        <s v="Jannat"/>
        <s v="Asif"/>
        <s v="Nazia"/>
        <s v="Kabir"/>
        <s v="Sonia"/>
        <s v="Mahmud"/>
      </sharedItems>
    </cacheField>
    <cacheField name="age" numFmtId="0">
      <sharedItems containsSemiMixedTypes="0" containsString="0" containsNumber="1" containsInteger="1" minValue="22" maxValue="52"/>
    </cacheField>
    <cacheField name="gender" numFmtId="0">
      <sharedItems/>
    </cacheField>
    <cacheField name="city" numFmtId="0">
      <sharedItems/>
    </cacheField>
    <cacheField name="account_type" numFmtId="0">
      <sharedItems/>
    </cacheField>
    <cacheField name="balance" numFmtId="0">
      <sharedItems containsSemiMixedTypes="0" containsString="0" containsNumber="1" containsInteger="1" minValue="12000" maxValue="70000" count="38">
        <n v="25000"/>
        <n v="42000"/>
        <n v="18000"/>
        <n v="32000"/>
        <n v="55000"/>
        <n v="12000"/>
        <n v="27000"/>
        <n v="48000"/>
        <n v="31000"/>
        <n v="60000"/>
        <n v="35000"/>
        <n v="15000"/>
        <n v="40000"/>
        <n v="52000"/>
        <n v="17000"/>
        <n v="58000"/>
        <n v="26000"/>
        <n v="47000"/>
        <n v="33000"/>
        <n v="65000"/>
        <n v="14000"/>
        <n v="54000"/>
        <n v="29000"/>
        <n v="36000"/>
        <n v="57000"/>
        <n v="28000"/>
        <n v="45000"/>
        <n v="19000"/>
        <n v="34000"/>
        <n v="61000"/>
        <n v="16000"/>
        <n v="50000"/>
        <n v="30000"/>
        <n v="63000"/>
        <n v="21000"/>
        <n v="39000"/>
        <n v="56000"/>
        <n v="70000"/>
      </sharedItems>
    </cacheField>
    <cacheField name="open_date" numFmtId="14">
      <sharedItems containsSemiMixedTypes="0" containsNonDate="0" containsDate="1" containsString="0" minDate="2023-01-05T00:00:00" maxDate="2023-09-02T00:00:00"/>
    </cacheField>
    <cacheField name="status" numFmtId="0">
      <sharedItems count="2">
        <s v="Active"/>
        <s v="Inactive"/>
      </sharedItems>
    </cacheField>
    <cacheField name="transaction_date" numFmtId="14">
      <sharedItems containsSemiMixedTypes="0" containsNonDate="0" containsDate="1" containsString="0" minDate="2025-01-01T00:00:00" maxDate="2025-01-21T00:00:00" count="2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sharedItems>
    </cacheField>
    <cacheField name="amount" numFmtId="0">
      <sharedItems containsSemiMixedTypes="0" containsString="0" containsNumber="1" containsInteger="1" minValue="1500" maxValue="10000"/>
    </cacheField>
    <cacheField name="transaction_type" numFmtId="0">
      <sharedItems/>
    </cacheField>
    <cacheField name="loan_amount" numFmtId="0">
      <sharedItems containsSemiMixedTypes="0" containsString="0" containsNumber="1" containsInteger="1" minValue="150000" maxValue="1200000" count="32">
        <n v="500000"/>
        <n v="200000"/>
        <n v="300000"/>
        <n v="150000"/>
        <n v="400000"/>
        <n v="600000"/>
        <n v="250000"/>
        <n v="350000"/>
        <n v="180000"/>
        <n v="450000"/>
        <n v="700000"/>
        <n v="220000"/>
        <n v="330000"/>
        <n v="160000"/>
        <n v="800000"/>
        <n v="260000"/>
        <n v="370000"/>
        <n v="190000"/>
        <n v="550000"/>
        <n v="900000"/>
        <n v="240000"/>
        <n v="390000"/>
        <n v="170000"/>
        <n v="1000000"/>
        <n v="280000"/>
        <n v="410000"/>
        <n v="650000"/>
        <n v="1100000"/>
        <n v="430000"/>
        <n v="1200000"/>
        <n v="320000"/>
        <n v="750000"/>
      </sharedItems>
    </cacheField>
    <cacheField name="loan_type" numFmtId="0">
      <sharedItems/>
    </cacheField>
    <cacheField name="loan_status" numFmtId="0">
      <sharedItems/>
    </cacheField>
    <cacheField name="branch_name" numFmtId="0">
      <sharedItems count="5">
        <s v="Dhaka Central Branch"/>
        <s v="Gulshan Branch"/>
        <s v="Dhanmondi Branch"/>
        <s v="Uttara Branch"/>
        <s v="Motijheel Branch"/>
      </sharedItems>
    </cacheField>
    <cacheField name="city2" numFmtId="0">
      <sharedItems/>
    </cacheField>
  </cacheFields>
  <extLst>
    <ext xmlns:x14="http://schemas.microsoft.com/office/spreadsheetml/2009/9/main" uri="{725AE2AE-9491-48be-B2B4-4EB974FC3084}">
      <x14:pivotCacheDefinition pivotCacheId="50242828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56.818334143521" createdVersion="8" refreshedVersion="8" minRefreshableVersion="3" recordCount="50" xr:uid="{8A79A31F-E219-4A19-9D09-F8D33805E496}">
  <cacheSource type="worksheet">
    <worksheetSource ref="A1:J51" sheet="Sales performance Analysis"/>
  </cacheSource>
  <cacheFields count="10">
    <cacheField name="customer_name" numFmtId="0">
      <sharedItems count="50">
        <s v="Rahim"/>
        <s v="Karim"/>
        <s v="Hasan"/>
        <s v="Rafi"/>
        <s v="Nusrat"/>
        <s v="Ayesha"/>
        <s v="Fahim"/>
        <s v="Nayeem"/>
        <s v="Sadia"/>
        <s v="Tanim"/>
        <s v="Imran"/>
        <s v="Mim"/>
        <s v="Sakib"/>
        <s v="Tisha"/>
        <s v="Arif"/>
        <s v="Mahi"/>
        <s v="Jubayer"/>
        <s v="Rima"/>
        <s v="Nabil"/>
        <s v="Anika"/>
        <s v="Saif"/>
        <s v="Priya"/>
        <s v="Rasel"/>
        <s v="Lima"/>
        <s v="Shuvo"/>
        <s v="Farzana"/>
        <s v="Hridoy"/>
        <s v="Puja"/>
        <s v="Mamun"/>
        <s v="Sumaiya"/>
        <s v="Tanvir"/>
        <s v="Nadia"/>
        <s v="Bappy"/>
        <s v="Jannat"/>
        <s v="Asif"/>
        <s v="Sumi"/>
        <s v="Kamal"/>
        <s v="Sharmin"/>
        <s v="Rony"/>
        <s v="Afsana"/>
        <s v="Mahmud"/>
        <s v="Elina"/>
        <s v="Rashid"/>
        <s v="Keya"/>
        <s v="Parvez"/>
        <s v="Sonia"/>
        <s v="Shamim"/>
        <s v="Laila"/>
        <s v="Rifat"/>
        <s v="Nila"/>
      </sharedItems>
    </cacheField>
    <cacheField name="product_name" numFmtId="0">
      <sharedItems/>
    </cacheField>
    <cacheField name="category" numFmtId="0">
      <sharedItems count="2">
        <s v="Electronics"/>
        <s v="Accessories"/>
      </sharedItems>
    </cacheField>
    <cacheField name="cost_price" numFmtId="0">
      <sharedItems containsSemiMixedTypes="0" containsString="0" containsNumber="1" containsInteger="1" minValue="500" maxValue="65000"/>
    </cacheField>
    <cacheField name="selling_price" numFmtId="0">
      <sharedItems containsSemiMixedTypes="0" containsString="0" containsNumber="1" containsInteger="1" minValue="800" maxValue="75000"/>
    </cacheField>
    <cacheField name="region" numFmtId="0">
      <sharedItems count="4">
        <s v="North"/>
        <s v="South"/>
        <s v="East"/>
        <s v="West"/>
      </sharedItems>
    </cacheField>
    <cacheField name="sale_date" numFmtId="14">
      <sharedItems containsSemiMixedTypes="0" containsNonDate="0" containsDate="1" containsString="0" minDate="2025-01-01T00:00:00" maxDate="2025-01-26T00:00:00" count="2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sharedItems>
    </cacheField>
    <cacheField name="quantity" numFmtId="0">
      <sharedItems containsSemiMixedTypes="0" containsString="0" containsNumber="1" containsInteger="1" minValue="1" maxValue="5"/>
    </cacheField>
    <cacheField name="Total_sales" numFmtId="0">
      <sharedItems containsSemiMixedTypes="0" containsString="0" containsNumber="1" containsInteger="1" minValue="800" maxValue="300000"/>
    </cacheField>
    <cacheField name="profit" numFmtId="0">
      <sharedItems containsSemiMixedTypes="0" containsString="0" containsNumber="1" containsInteger="1" minValue="300" maxValue="40000"/>
    </cacheField>
  </cacheFields>
  <extLst>
    <ext xmlns:x14="http://schemas.microsoft.com/office/spreadsheetml/2009/9/main" uri="{725AE2AE-9491-48be-B2B4-4EB974FC3084}">
      <x14:pivotCacheDefinition pivotCacheId="147297970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0.785908333331" createdVersion="8" refreshedVersion="8" minRefreshableVersion="3" recordCount="10" xr:uid="{3A499C68-6769-4F05-8B6E-7C7D1B7344FA}">
  <cacheSource type="worksheet">
    <worksheetSource ref="A17:F27" sheet="Sheet1"/>
  </cacheSource>
  <cacheFields count="10">
    <cacheField name="Name" numFmtId="0">
      <sharedItems count="10">
        <s v="Mahmudul Islam"/>
        <s v="Ayesha Khan"/>
        <s v="Nusrat Jahan"/>
        <s v="Karim Ahmed"/>
        <s v="Shila Rahman"/>
        <s v="Tanvir Hasan"/>
        <s v="Arif Chowdhury"/>
        <s v="Sabbir Hossain"/>
        <s v="Rahim Uddin"/>
        <s v="Farhana Akter"/>
      </sharedItems>
    </cacheField>
    <cacheField name="Department" numFmtId="0">
      <sharedItems count="5">
        <s v="Finance"/>
        <s v="IT"/>
        <s v="Marketing"/>
        <s v="Sales"/>
        <s v="HR"/>
      </sharedItems>
    </cacheField>
    <cacheField name="Hire_date" numFmtId="14">
      <sharedItems containsSemiMixedTypes="0" containsNonDate="0" containsDate="1" containsString="0" minDate="2018-08-25T00:00:00" maxDate="2023-06-19T00:00:00" count="10">
        <d v="2018-08-25T00:00:00"/>
        <d v="2022-01-10T00:00:00"/>
        <d v="2023-06-18T00:00:00"/>
        <d v="2020-07-22T00:00:00"/>
        <d v="2022-12-01T00:00:00"/>
        <d v="2019-11-05T00:00:00"/>
        <d v="2023-04-20T00:00:00"/>
        <d v="2021-09-30T00:00:00"/>
        <d v="2021-03-15T00:00:00"/>
        <d v="2020-02-14T00:00:00"/>
      </sharedItems>
      <fieldGroup par="9"/>
    </cacheField>
    <cacheField name="Salary" numFmtId="0">
      <sharedItems containsSemiMixedTypes="0" containsString="0" containsNumber="1" containsInteger="1" minValue="34000" maxValue="55000"/>
    </cacheField>
    <cacheField name="Date" numFmtId="14">
      <sharedItems containsSemiMixedTypes="0" containsNonDate="0" containsDate="1" containsString="0" minDate="2025-01-01T00:00:00" maxDate="2025-01-02T00:00:00" count="1">
        <d v="2025-01-01T00:00:00"/>
      </sharedItems>
    </cacheField>
    <cacheField name="Status" numFmtId="0">
      <sharedItems count="2">
        <s v="Present"/>
        <s v="Absent"/>
      </sharedItems>
    </cacheField>
    <cacheField name="Bonus" numFmtId="0">
      <sharedItems count="2">
        <s v="Bonus"/>
        <s v="NO Bonus"/>
      </sharedItems>
    </cacheField>
    <cacheField name="Months (Hire_date)" numFmtId="0" databaseField="0">
      <fieldGroup base="2">
        <rangePr groupBy="months" startDate="2018-08-25T00:00:00" endDate="2023-06-19T00:00:00"/>
        <groupItems count="14">
          <s v="&lt;8/25/2018"/>
          <s v="Jan"/>
          <s v="Feb"/>
          <s v="Mar"/>
          <s v="Apr"/>
          <s v="May"/>
          <s v="Jun"/>
          <s v="Jul"/>
          <s v="Aug"/>
          <s v="Sep"/>
          <s v="Oct"/>
          <s v="Nov"/>
          <s v="Dec"/>
          <s v="&gt;6/19/2023"/>
        </groupItems>
      </fieldGroup>
    </cacheField>
    <cacheField name="Quarters (Hire_date)" numFmtId="0" databaseField="0">
      <fieldGroup base="2">
        <rangePr groupBy="quarters" startDate="2018-08-25T00:00:00" endDate="2023-06-19T00:00:00"/>
        <groupItems count="6">
          <s v="&lt;8/25/2018"/>
          <s v="Qtr1"/>
          <s v="Qtr2"/>
          <s v="Qtr3"/>
          <s v="Qtr4"/>
          <s v="&gt;6/19/2023"/>
        </groupItems>
      </fieldGroup>
    </cacheField>
    <cacheField name="Years (Hire_date)" numFmtId="0" databaseField="0">
      <fieldGroup base="2">
        <rangePr groupBy="years" startDate="2018-08-25T00:00:00" endDate="2023-06-19T00:00:00"/>
        <groupItems count="8">
          <s v="&lt;8/25/2018"/>
          <s v="2018"/>
          <s v="2019"/>
          <s v="2020"/>
          <s v="2021"/>
          <s v="2022"/>
          <s v="2023"/>
          <s v="&gt;6/19/2023"/>
        </groupItems>
      </fieldGroup>
    </cacheField>
  </cacheFields>
  <extLst>
    <ext xmlns:x14="http://schemas.microsoft.com/office/spreadsheetml/2009/9/main" uri="{725AE2AE-9491-48be-B2B4-4EB974FC3084}">
      <x14:pivotCacheDefinition pivotCacheId="807559635"/>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3.59417546296" createdVersion="8" refreshedVersion="8" minRefreshableVersion="3" recordCount="7" xr:uid="{54F419DE-8FF8-4B0C-A7D7-8157EF107FB5}">
  <cacheSource type="worksheet">
    <worksheetSource ref="A2:B9" sheet="Sales &amp; revenue"/>
  </cacheSource>
  <cacheFields count="2">
    <cacheField name="Month" numFmtId="0">
      <sharedItems count="7">
        <s v="august   "/>
        <s v="december "/>
        <s v="january  "/>
        <s v="july     "/>
        <s v="november "/>
        <s v="october  "/>
        <s v="september"/>
      </sharedItems>
    </cacheField>
    <cacheField name="Month_revenue_trend" numFmtId="0">
      <sharedItems containsSemiMixedTypes="0" containsString="0" containsNumber="1" containsInteger="1" minValue="38415" maxValue="129454"/>
    </cacheField>
  </cacheFields>
  <extLst>
    <ext xmlns:x14="http://schemas.microsoft.com/office/spreadsheetml/2009/9/main" uri="{725AE2AE-9491-48be-B2B4-4EB974FC3084}">
      <x14:pivotCacheDefinition pivotCacheId="1691491903"/>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3.594657870373" createdVersion="8" refreshedVersion="8" minRefreshableVersion="3" recordCount="20" xr:uid="{7D5B6348-CC1F-48C3-B716-5CEFA1DC68C2}">
  <cacheSource type="worksheet">
    <worksheetSource ref="E2:G21" sheet="Sales &amp; revenue"/>
  </cacheSource>
  <cacheFields count="3">
    <cacheField name="Product_name" numFmtId="0">
      <sharedItems count="20">
        <s v="Product_495"/>
        <s v="Product_345"/>
        <s v="Product_295"/>
        <s v="Product_95"/>
        <s v="Product_145"/>
        <s v="Product_395"/>
        <s v="Product_245"/>
        <s v="Product_195"/>
        <s v="Product_445"/>
        <s v="Product_45"/>
        <s v="Product_190"/>
        <s v="Product_390"/>
        <s v="Product_290"/>
        <s v="Product_240"/>
        <s v="Product_340"/>
        <s v="Product_40"/>
        <s v="Product_90"/>
        <s v="Product_490"/>
        <s v="Product_140"/>
        <s v="Product_440"/>
      </sharedItems>
    </cacheField>
    <cacheField name="Quantity" numFmtId="0">
      <sharedItems containsSemiMixedTypes="0" containsString="0" containsNumber="1" containsInteger="1" minValue="5" maxValue="5" count="1">
        <n v="5"/>
      </sharedItems>
    </cacheField>
    <cacheField name="Top_product" numFmtId="0">
      <sharedItems containsSemiMixedTypes="0" containsString="0" containsNumber="1" containsInteger="1" minValue="3250" maxValue="3575"/>
    </cacheField>
  </cacheFields>
  <extLst>
    <ext xmlns:x14="http://schemas.microsoft.com/office/spreadsheetml/2009/9/main" uri="{725AE2AE-9491-48be-B2B4-4EB974FC3084}">
      <x14:pivotCacheDefinition pivotCacheId="1443299965"/>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3.596537847225" createdVersion="8" refreshedVersion="8" minRefreshableVersion="3" recordCount="5" xr:uid="{1FFB4B18-3B19-4B8A-9A2E-FDE56177773E}">
  <cacheSource type="worksheet">
    <worksheetSource ref="H2:I7" sheet="Sales &amp; revenue"/>
  </cacheSource>
  <cacheFields count="2">
    <cacheField name="Region" numFmtId="0">
      <sharedItems count="5">
        <s v="North"/>
        <s v="Central"/>
        <s v="West"/>
        <s v="East"/>
        <s v="South"/>
      </sharedItems>
    </cacheField>
    <cacheField name="Region_wise_revenue" numFmtId="0">
      <sharedItems containsSemiMixedTypes="0" containsString="0" containsNumber="1" containsInteger="1" minValue="43550" maxValue="211250"/>
    </cacheField>
  </cacheFields>
  <extLst>
    <ext xmlns:x14="http://schemas.microsoft.com/office/spreadsheetml/2009/9/main" uri="{725AE2AE-9491-48be-B2B4-4EB974FC3084}">
      <x14:pivotCacheDefinition pivotCacheId="1500617919"/>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5950.648226273152" createdVersion="8" refreshedVersion="8" minRefreshableVersion="3" recordCount="7" xr:uid="{A4EC7112-7D48-4ACB-9015-F92437ADE988}">
  <cacheSource type="worksheet">
    <worksheetSource name="Table3"/>
  </cacheSource>
  <cacheFields count="8">
    <cacheField name="t" numFmtId="0">
      <sharedItems containsSemiMixedTypes="0" containsString="0" containsNumber="1" containsInteger="1" minValue="1" maxValue="7" count="7">
        <n v="1"/>
        <n v="2"/>
        <n v="3"/>
        <n v="4"/>
        <n v="5"/>
        <n v="6"/>
        <n v="7"/>
      </sharedItems>
    </cacheField>
    <cacheField name="name" numFmtId="0">
      <sharedItems count="7">
        <s v="Shakib"/>
        <s v="Rakib"/>
        <s v="Arafat"/>
        <s v="Tasmova"/>
        <s v="Sumon"/>
        <s v="Sheol"/>
        <s v="Tamim"/>
      </sharedItems>
    </cacheField>
    <cacheField name="id" numFmtId="0">
      <sharedItems containsSemiMixedTypes="0" containsString="0" containsNumber="1" containsInteger="1" minValue="2093" maxValue="9834" count="7">
        <n v="2932"/>
        <n v="2938"/>
        <n v="2093"/>
        <n v="3948"/>
        <n v="8773"/>
        <n v="7384"/>
        <n v="9834"/>
      </sharedItems>
    </cacheField>
    <cacheField name="month" numFmtId="0">
      <sharedItems count="7">
        <s v="January"/>
        <s v="February"/>
        <s v="March"/>
        <s v="April"/>
        <s v="June"/>
        <s v="July"/>
        <s v="August"/>
      </sharedItems>
    </cacheField>
    <cacheField name="day" numFmtId="0">
      <sharedItems count="7">
        <s v="Sunday"/>
        <s v="Monday"/>
        <s v="Tuesday"/>
        <s v="Wednesday"/>
        <s v="Thursday"/>
        <s v="Friday"/>
        <s v="Saturday"/>
      </sharedItems>
    </cacheField>
    <cacheField name="sales1" numFmtId="0">
      <sharedItems containsSemiMixedTypes="0" containsString="0" containsNumber="1" containsInteger="1" minValue="6000" maxValue="15000" count="7">
        <n v="12000"/>
        <n v="8000"/>
        <n v="15000"/>
        <n v="11000"/>
        <n v="6000"/>
        <n v="7000"/>
        <n v="13000"/>
      </sharedItems>
    </cacheField>
    <cacheField name="sales2" numFmtId="0">
      <sharedItems containsSemiMixedTypes="0" containsString="0" containsNumber="1" containsInteger="1" minValue="15000" maxValue="50000" count="7">
        <n v="30000"/>
        <n v="40000"/>
        <n v="32000"/>
        <n v="50000"/>
        <n v="25000"/>
        <n v="15000"/>
        <n v="45000"/>
      </sharedItems>
    </cacheField>
    <cacheField name="total" numFmtId="0">
      <sharedItems containsSemiMixedTypes="0" containsString="0" containsNumber="1" containsInteger="1" minValue="22000" maxValue="61000" count="7">
        <n v="42000"/>
        <n v="48000"/>
        <n v="47000"/>
        <n v="61000"/>
        <n v="31000"/>
        <n v="22000"/>
        <n v="58000"/>
      </sharedItems>
    </cacheField>
  </cacheFields>
  <extLst>
    <ext xmlns:x14="http://schemas.microsoft.com/office/spreadsheetml/2009/9/main" uri="{725AE2AE-9491-48be-B2B4-4EB974FC3084}">
      <x14:pivotCacheDefinition pivotCacheId="411313420"/>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1.886893750001" createdVersion="8" refreshedVersion="8" minRefreshableVersion="3" recordCount="20" xr:uid="{0A72E0CA-6B6D-43E6-8965-7C92D1743C74}">
  <cacheSource type="worksheet">
    <worksheetSource ref="A2:F22" sheet="Sheet4"/>
  </cacheSource>
  <cacheFields count="6">
    <cacheField name="txn_type" numFmtId="0">
      <sharedItems containsBlank="1" count="3">
        <s v="DEPOSIT"/>
        <s v="WITHDRAW"/>
        <m/>
      </sharedItems>
    </cacheField>
    <cacheField name="total_deposit_withdraw" numFmtId="0">
      <sharedItems containsString="0" containsBlank="1" containsNumber="1" containsInteger="1" minValue="201500" maxValue="252500"/>
    </cacheField>
    <cacheField name="txn_date" numFmtId="14">
      <sharedItems containsSemiMixedTypes="0" containsNonDate="0" containsDate="1" containsString="0" minDate="2025-01-02T00:00:00" maxDate="2025-01-22T00:00:00" count="2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sharedItems>
    </cacheField>
    <cacheField name="Daily_running_balance" numFmtId="0">
      <sharedItems containsSemiMixedTypes="0" containsString="0" containsNumber="1" containsInteger="1" minValue="5000" maxValue="48000"/>
    </cacheField>
    <cacheField name="txn_id" numFmtId="0">
      <sharedItems containsSemiMixedTypes="0" containsString="0" containsNumber="1" containsInteger="1" minValue="1" maxValue="20" count="20">
        <n v="7"/>
        <n v="15"/>
        <n v="5"/>
        <n v="13"/>
        <n v="9"/>
        <n v="17"/>
        <n v="3"/>
        <n v="19"/>
        <n v="11"/>
        <n v="1"/>
        <n v="20"/>
        <n v="18"/>
        <n v="10"/>
        <n v="14"/>
        <n v="2"/>
        <n v="8"/>
        <n v="4"/>
        <n v="16"/>
        <n v="6"/>
        <n v="12"/>
      </sharedItems>
    </cacheField>
    <cacheField name="Highest_txn_accounts" numFmtId="0">
      <sharedItems containsSemiMixedTypes="0" containsString="0" containsNumber="1" containsInteger="1" minValue="1000" maxValue="12000"/>
    </cacheField>
  </cacheFields>
  <extLst>
    <ext xmlns:x14="http://schemas.microsoft.com/office/spreadsheetml/2009/9/main" uri="{725AE2AE-9491-48be-B2B4-4EB974FC3084}">
      <x14:pivotCacheDefinition pivotCacheId="55279519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5958.85649583333" createdVersion="8" refreshedVersion="8" minRefreshableVersion="3" recordCount="7" xr:uid="{EA8124D4-526E-44CC-A30D-7719D10602E8}">
  <cacheSource type="worksheet">
    <worksheetSource name="Table5"/>
  </cacheSource>
  <cacheFields count="8">
    <cacheField name="customer_name" numFmtId="0">
      <sharedItems count="7">
        <s v="John"/>
        <s v="David"/>
        <s v="Sadia"/>
        <s v="Rana"/>
        <s v="Tamim"/>
        <s v="Shakib"/>
        <s v="Shoel"/>
      </sharedItems>
    </cacheField>
    <cacheField name="product_name" numFmtId="0">
      <sharedItems count="7">
        <s v="Shoes"/>
        <s v="Laptop"/>
        <s v="Printer"/>
        <s v="Keyboard"/>
        <s v="Mouse"/>
        <s v="Tv"/>
        <s v="Phone"/>
      </sharedItems>
    </cacheField>
    <cacheField name="price" numFmtId="0">
      <sharedItems containsSemiMixedTypes="0" containsString="0" containsNumber="1" containsInteger="1" minValue="3000" maxValue="85000"/>
    </cacheField>
    <cacheField name="quantity" numFmtId="0">
      <sharedItems containsSemiMixedTypes="0" containsString="0" containsNumber="1" containsInteger="1" minValue="1" maxValue="2"/>
    </cacheField>
    <cacheField name="total_amount" numFmtId="0">
      <sharedItems containsSemiMixedTypes="0" containsString="0" containsNumber="1" containsInteger="1" minValue="6000" maxValue="85000"/>
    </cacheField>
    <cacheField name="country" numFmtId="0">
      <sharedItems count="6">
        <s v="Canada"/>
        <s v="USA"/>
        <s v="UK"/>
        <s v="Indian"/>
        <s v="Bangladesh"/>
        <s v="Banglades"/>
      </sharedItems>
    </cacheField>
    <cacheField name="order_date" numFmtId="14">
      <sharedItems containsSemiMixedTypes="0" containsNonDate="0" containsDate="1" containsString="0" minDate="2025-01-10T00:00:00" maxDate="2025-01-16T00:00:00"/>
    </cacheField>
    <cacheField name="status" numFmtId="0">
      <sharedItems/>
    </cacheField>
  </cacheFields>
  <extLst>
    <ext xmlns:x14="http://schemas.microsoft.com/office/spreadsheetml/2009/9/main" uri="{725AE2AE-9491-48be-B2B4-4EB974FC3084}">
      <x14:pivotCacheDefinition pivotCacheId="1926015674"/>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5958.86406284722" createdVersion="8" refreshedVersion="8" minRefreshableVersion="3" recordCount="5" xr:uid="{D5636BF7-1397-4B76-8DA5-3D35002CF3BF}">
  <cacheSource type="worksheet">
    <worksheetSource name="Table7"/>
  </cacheSource>
  <cacheFields count="2">
    <cacheField name="CUSTOMER_NAME" numFmtId="0">
      <sharedItems count="5">
        <s v="David"/>
        <s v="Shoel"/>
        <s v="Shakib"/>
        <s v="Sadia"/>
        <s v="Rana"/>
      </sharedItems>
    </cacheField>
    <cacheField name="TOTAL_REVEUNE" numFmtId="0">
      <sharedItems containsSemiMixedTypes="0" containsString="0" containsNumber="1" containsInteger="1" minValue="12000" maxValue="85000" count="4">
        <n v="85000"/>
        <n v="45000"/>
        <n v="20000"/>
        <n v="12000"/>
      </sharedItems>
    </cacheField>
  </cacheFields>
  <extLst>
    <ext xmlns:x14="http://schemas.microsoft.com/office/spreadsheetml/2009/9/main" uri="{725AE2AE-9491-48be-B2B4-4EB974FC3084}">
      <x14:pivotCacheDefinition pivotCacheId="1089006074"/>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5958.864733449074" createdVersion="8" refreshedVersion="8" minRefreshableVersion="3" recordCount="2" xr:uid="{D00853D3-81C2-40B7-A5B4-829A61FA456C}">
  <cacheSource type="worksheet">
    <worksheetSource name="Table12"/>
  </cacheSource>
  <cacheFields count="2">
    <cacheField name="STATUS" numFmtId="0">
      <sharedItems count="2">
        <s v="Delivery"/>
        <s v="pending"/>
      </sharedItems>
    </cacheField>
    <cacheField name="TOTAL_ORDER" numFmtId="0">
      <sharedItems containsSemiMixedTypes="0" containsString="0" containsNumber="1" containsInteger="1" minValue="3" maxValue="4"/>
    </cacheField>
  </cacheFields>
  <extLst>
    <ext xmlns:x14="http://schemas.microsoft.com/office/spreadsheetml/2009/9/main" uri="{725AE2AE-9491-48be-B2B4-4EB974FC3084}">
      <x14:pivotCacheDefinition pivotCacheId="1050171483"/>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28.860863657406" createdVersion="8" refreshedVersion="8" minRefreshableVersion="3" recordCount="10" xr:uid="{4032D4E8-D609-4E05-880A-13ADAE18F05B}">
  <cacheSource type="worksheet">
    <worksheetSource ref="A1:H11" sheet="Sheet20"/>
  </cacheSource>
  <cacheFields count="8">
    <cacheField name="customer_name" numFmtId="0">
      <sharedItems count="10">
        <s v="Arafat Hossen"/>
        <s v="Rahim Uddin"/>
        <s v="Karim Ali"/>
        <s v="John Smith"/>
        <s v="Emily Brown"/>
        <s v="Chen Wei"/>
        <s v="Ahmed Hassan"/>
        <s v="Sara Khan"/>
        <s v="David Miller"/>
        <s v="Maria Garcia"/>
      </sharedItems>
    </cacheField>
    <cacheField name="product_name" numFmtId="0">
      <sharedItems count="10">
        <s v="Laptop"/>
        <s v="Smartphone"/>
        <s v="Headphones"/>
        <s v="Keyboard"/>
        <s v="Mouse"/>
        <s v="Monitor"/>
        <s v="Printer"/>
        <s v="Desk Chair"/>
        <s v="USB Cable"/>
        <s v="Power Bank"/>
      </sharedItems>
    </cacheField>
    <cacheField name="category" numFmtId="0">
      <sharedItems count="3">
        <s v="Electronics"/>
        <s v="Accessories"/>
        <s v="Furniture"/>
      </sharedItems>
    </cacheField>
    <cacheField name="price" numFmtId="0">
      <sharedItems containsSemiMixedTypes="0" containsString="0" containsNumber="1" containsInteger="1" minValue="500" maxValue="85000"/>
    </cacheField>
    <cacheField name="quantity" numFmtId="0">
      <sharedItems containsSemiMixedTypes="0" containsString="0" containsNumber="1" containsInteger="1" minValue="1" maxValue="5" count="4">
        <n v="1"/>
        <n v="2"/>
        <n v="3"/>
        <n v="5"/>
      </sharedItems>
    </cacheField>
    <cacheField name="country" numFmtId="0">
      <sharedItems count="9">
        <s v="Bangladesh"/>
        <s v="India"/>
        <s v="USA"/>
        <s v="UK"/>
        <s v="China"/>
        <s v="UAE"/>
        <s v="Pakistan"/>
        <s v="Canada"/>
        <s v="Spain"/>
      </sharedItems>
    </cacheField>
    <cacheField name="order_date" numFmtId="14">
      <sharedItems containsSemiMixedTypes="0" containsNonDate="0" containsDate="1" containsString="0" minDate="2025-01-05T00:00:00" maxDate="2025-01-31T00:00:00" count="10">
        <d v="2025-01-05T00:00:00"/>
        <d v="2025-01-10T00:00:00"/>
        <d v="2025-01-15T00:00:00"/>
        <d v="2025-01-18T00:00:00"/>
        <d v="2025-01-20T00:00:00"/>
        <d v="2025-01-22T00:00:00"/>
        <d v="2025-01-25T00:00:00"/>
        <d v="2025-01-26T00:00:00"/>
        <d v="2025-01-28T00:00:00"/>
        <d v="2025-01-30T00:00:00"/>
      </sharedItems>
    </cacheField>
    <cacheField name="Total_revenue" numFmtId="0">
      <sharedItems containsSemiMixedTypes="0" containsString="0" containsNumber="1" containsInteger="1" minValue="2400" maxValue="90000"/>
    </cacheField>
  </cacheFields>
  <extLst>
    <ext xmlns:x14="http://schemas.microsoft.com/office/spreadsheetml/2009/9/main" uri="{725AE2AE-9491-48be-B2B4-4EB974FC3084}">
      <x14:pivotCacheDefinition pivotCacheId="7647524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x v="0"/>
    <x v="0"/>
    <n v="9388"/>
    <x v="0"/>
    <n v="200"/>
    <n v="10000"/>
    <x v="0"/>
  </r>
  <r>
    <n v="2"/>
    <x v="1"/>
    <x v="1"/>
    <n v="8374"/>
    <x v="1"/>
    <n v="300"/>
    <n v="9000"/>
    <x v="1"/>
  </r>
  <r>
    <n v="3"/>
    <x v="2"/>
    <x v="2"/>
    <n v="8748"/>
    <x v="2"/>
    <n v="400"/>
    <n v="8000"/>
    <x v="1"/>
  </r>
  <r>
    <n v="4"/>
    <x v="3"/>
    <x v="3"/>
    <n v="8950"/>
    <x v="3"/>
    <n v="500"/>
    <n v="7000"/>
    <x v="1"/>
  </r>
  <r>
    <n v="5"/>
    <x v="4"/>
    <x v="4"/>
    <n v="5437"/>
    <x v="4"/>
    <n v="600"/>
    <n v="6000"/>
    <x v="1"/>
  </r>
  <r>
    <n v="6"/>
    <x v="5"/>
    <x v="5"/>
    <n v="8738"/>
    <x v="5"/>
    <n v="700"/>
    <n v="5000"/>
    <x v="1"/>
  </r>
  <r>
    <n v="7"/>
    <x v="6"/>
    <x v="6"/>
    <n v="9375"/>
    <x v="6"/>
    <n v="800"/>
    <n v="4000"/>
    <x v="1"/>
  </r>
  <r>
    <n v="8"/>
    <x v="7"/>
    <x v="7"/>
    <n v="8374"/>
    <x v="0"/>
    <n v="900"/>
    <n v="3000"/>
    <x v="2"/>
  </r>
  <r>
    <n v="9"/>
    <x v="8"/>
    <x v="8"/>
    <n v="7635"/>
    <x v="1"/>
    <n v="1000"/>
    <n v="2000"/>
    <x v="2"/>
  </r>
  <r>
    <n v="10"/>
    <x v="9"/>
    <x v="9"/>
    <n v="6354"/>
    <x v="2"/>
    <n v="1100"/>
    <n v="100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85"/>
    <n v="95"/>
    <x v="0"/>
    <x v="0"/>
    <x v="0"/>
    <n v="81"/>
    <n v="5.85"/>
  </r>
  <r>
    <x v="1"/>
    <x v="1"/>
    <n v="78"/>
    <n v="92"/>
    <x v="1"/>
    <x v="1"/>
    <x v="1"/>
    <n v="89"/>
    <n v="5.67"/>
  </r>
  <r>
    <x v="2"/>
    <x v="2"/>
    <n v="88"/>
    <n v="91"/>
    <x v="2"/>
    <x v="2"/>
    <x v="2"/>
    <n v="90"/>
    <n v="5.6"/>
  </r>
  <r>
    <x v="3"/>
    <x v="3"/>
    <n v="67"/>
    <n v="90"/>
    <x v="3"/>
    <x v="3"/>
    <x v="3"/>
    <n v="79"/>
    <n v="5.54"/>
  </r>
  <r>
    <x v="4"/>
    <x v="4"/>
    <n v="72"/>
    <n v="90"/>
    <x v="3"/>
    <x v="3"/>
    <x v="3"/>
    <n v="91"/>
    <n v="5.54"/>
  </r>
  <r>
    <x v="5"/>
    <x v="5"/>
    <n v="91"/>
    <n v="89"/>
    <x v="4"/>
    <x v="3"/>
    <x v="3"/>
    <n v="83"/>
    <n v="5.48"/>
  </r>
  <r>
    <x v="6"/>
    <x v="6"/>
    <n v="90"/>
    <n v="88"/>
    <x v="5"/>
    <x v="3"/>
    <x v="3"/>
    <n v="67"/>
    <n v="5.42"/>
  </r>
  <r>
    <x v="7"/>
    <x v="7"/>
    <n v="69"/>
    <n v="87"/>
    <x v="6"/>
    <x v="3"/>
    <x v="3"/>
    <n v="78"/>
    <n v="5.36"/>
  </r>
  <r>
    <x v="8"/>
    <x v="8"/>
    <n v="74"/>
    <n v="85"/>
    <x v="7"/>
    <x v="3"/>
    <x v="3"/>
    <n v="85"/>
    <n v="5.23"/>
  </r>
  <r>
    <x v="9"/>
    <x v="9"/>
    <n v="81"/>
    <n v="83"/>
    <x v="8"/>
    <x v="3"/>
    <x v="3"/>
    <n v="70"/>
    <n v="5.1100000000000003"/>
  </r>
  <r>
    <x v="10"/>
    <x v="10"/>
    <n v="76"/>
    <n v="81"/>
    <x v="9"/>
    <x v="3"/>
    <x v="3"/>
    <n v="92"/>
    <n v="4.99"/>
  </r>
  <r>
    <x v="11"/>
    <x v="11"/>
    <n v="83"/>
    <n v="79"/>
    <x v="10"/>
    <x v="3"/>
    <x v="3"/>
    <n v="74"/>
    <n v="4.8600000000000003"/>
  </r>
  <r>
    <x v="12"/>
    <x v="12"/>
    <n v="79"/>
    <n v="78"/>
    <x v="11"/>
    <x v="3"/>
    <x v="3"/>
    <n v="88"/>
    <n v="4.8"/>
  </r>
  <r>
    <x v="13"/>
    <x v="13"/>
    <n v="70"/>
    <n v="76"/>
    <x v="12"/>
    <x v="3"/>
    <x v="3"/>
    <n v="68"/>
    <n v="4.68"/>
  </r>
  <r>
    <x v="14"/>
    <x v="14"/>
    <n v="68"/>
    <n v="74"/>
    <x v="13"/>
    <x v="3"/>
    <x v="3"/>
    <n v="76"/>
    <n v="4.5599999999999996"/>
  </r>
  <r>
    <x v="15"/>
    <x v="15"/>
    <n v="92"/>
    <n v="72"/>
    <x v="14"/>
    <x v="3"/>
    <x v="3"/>
    <n v="69"/>
    <n v="4.43"/>
  </r>
  <r>
    <x v="16"/>
    <x v="16"/>
    <n v="95"/>
    <n v="70"/>
    <x v="15"/>
    <x v="3"/>
    <x v="3"/>
    <n v="95"/>
    <n v="4.3099999999999996"/>
  </r>
  <r>
    <x v="17"/>
    <x v="17"/>
    <n v="89"/>
    <n v="69"/>
    <x v="16"/>
    <x v="3"/>
    <x v="3"/>
    <n v="87"/>
    <n v="4.25"/>
  </r>
  <r>
    <x v="18"/>
    <x v="18"/>
    <n v="87"/>
    <n v="68"/>
    <x v="17"/>
    <x v="3"/>
    <x v="3"/>
    <n v="90"/>
    <n v="4.1900000000000004"/>
  </r>
  <r>
    <x v="19"/>
    <x v="19"/>
    <n v="90"/>
    <n v="67"/>
    <x v="18"/>
    <x v="3"/>
    <x v="3"/>
    <n v="72"/>
    <n v="4.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s v="Electronics"/>
    <n v="75000"/>
    <x v="0"/>
    <n v="2"/>
  </r>
  <r>
    <x v="0"/>
    <x v="0"/>
    <x v="1"/>
    <s v="Electronics"/>
    <n v="3500"/>
    <x v="0"/>
    <n v="1"/>
  </r>
  <r>
    <x v="1"/>
    <x v="0"/>
    <x v="2"/>
    <s v="Electronics"/>
    <n v="45000"/>
    <x v="1"/>
    <n v="4"/>
  </r>
  <r>
    <x v="1"/>
    <x v="0"/>
    <x v="3"/>
    <s v="Electronics"/>
    <n v="8000"/>
    <x v="1"/>
    <n v="2"/>
  </r>
  <r>
    <x v="2"/>
    <x v="0"/>
    <x v="4"/>
    <s v="Electronics"/>
    <n v="12000"/>
    <x v="2"/>
    <n v="1"/>
  </r>
  <r>
    <x v="3"/>
    <x v="0"/>
    <x v="5"/>
    <s v="Furniture"/>
    <n v="9000"/>
    <x v="3"/>
    <n v="3"/>
  </r>
  <r>
    <x v="4"/>
    <x v="0"/>
    <x v="6"/>
    <s v="Furniture"/>
    <n v="15000"/>
    <x v="4"/>
    <n v="2"/>
  </r>
  <r>
    <x v="5"/>
    <x v="0"/>
    <x v="7"/>
    <s v="Furniture"/>
    <n v="65000"/>
    <x v="5"/>
    <n v="5"/>
  </r>
  <r>
    <x v="6"/>
    <x v="0"/>
    <x v="8"/>
    <s v="Furniture"/>
    <n v="55000"/>
    <x v="6"/>
    <n v="1"/>
  </r>
  <r>
    <x v="7"/>
    <x v="0"/>
    <x v="9"/>
    <s v="Furniture"/>
    <n v="7000"/>
    <x v="7"/>
    <n v="2"/>
  </r>
  <r>
    <x v="8"/>
    <x v="0"/>
    <x v="0"/>
    <s v="Electronics"/>
    <n v="75000"/>
    <x v="8"/>
    <n v="3"/>
  </r>
  <r>
    <x v="9"/>
    <x v="0"/>
    <x v="2"/>
    <s v="Electronics"/>
    <n v="45000"/>
    <x v="9"/>
    <n v="2"/>
  </r>
  <r>
    <x v="10"/>
    <x v="1"/>
    <x v="1"/>
    <s v="Electronics"/>
    <n v="3500"/>
    <x v="10"/>
    <n v="4"/>
  </r>
  <r>
    <x v="11"/>
    <x v="1"/>
    <x v="4"/>
    <s v="Electronics"/>
    <n v="12000"/>
    <x v="11"/>
    <n v="1"/>
  </r>
  <r>
    <x v="12"/>
    <x v="1"/>
    <x v="3"/>
    <s v="Electronics"/>
    <n v="8000"/>
    <x v="12"/>
    <n v="2"/>
  </r>
  <r>
    <x v="13"/>
    <x v="2"/>
    <x v="5"/>
    <s v="Furniture"/>
    <n v="9000"/>
    <x v="13"/>
    <n v="3"/>
  </r>
  <r>
    <x v="14"/>
    <x v="2"/>
    <x v="6"/>
    <s v="Furniture"/>
    <n v="15000"/>
    <x v="14"/>
    <n v="1"/>
  </r>
  <r>
    <x v="15"/>
    <x v="3"/>
    <x v="7"/>
    <s v="Furniture"/>
    <n v="65000"/>
    <x v="15"/>
    <n v="2"/>
  </r>
  <r>
    <x v="16"/>
    <x v="3"/>
    <x v="8"/>
    <s v="Furniture"/>
    <n v="55000"/>
    <x v="16"/>
    <n v="4"/>
  </r>
  <r>
    <x v="17"/>
    <x v="4"/>
    <x v="9"/>
    <s v="Furniture"/>
    <n v="7000"/>
    <x v="17"/>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s v="Bangla"/>
    <n v="85"/>
    <x v="0"/>
    <n v="277"/>
    <x v="0"/>
    <n v="77.9375"/>
    <x v="0"/>
    <n v="277"/>
    <x v="0"/>
    <s v="pass"/>
    <n v="100"/>
  </r>
  <r>
    <x v="0"/>
    <s v="English"/>
    <n v="78"/>
    <x v="1"/>
    <n v="276"/>
    <x v="1"/>
    <n v="78.9375"/>
    <x v="1"/>
    <n v="276"/>
    <x v="1"/>
    <m/>
    <m/>
  </r>
  <r>
    <x v="0"/>
    <s v="Mathematics"/>
    <n v="92"/>
    <x v="2"/>
    <n v="272"/>
    <x v="2"/>
    <n v="84.4"/>
    <x v="2"/>
    <n v="272"/>
    <x v="2"/>
    <m/>
    <m/>
  </r>
  <r>
    <x v="1"/>
    <s v="Bangla"/>
    <n v="74"/>
    <x v="3"/>
    <m/>
    <x v="3"/>
    <m/>
    <x v="3"/>
    <n v="265"/>
    <x v="3"/>
    <m/>
    <m/>
  </r>
  <r>
    <x v="1"/>
    <s v="English"/>
    <n v="69"/>
    <x v="3"/>
    <m/>
    <x v="3"/>
    <m/>
    <x v="4"/>
    <n v="255"/>
    <x v="4"/>
    <m/>
    <m/>
  </r>
  <r>
    <x v="1"/>
    <s v="Mathematics"/>
    <n v="81"/>
    <x v="3"/>
    <m/>
    <x v="3"/>
    <m/>
    <x v="5"/>
    <n v="255"/>
    <x v="4"/>
    <m/>
    <m/>
  </r>
  <r>
    <x v="2"/>
    <s v="Bangla"/>
    <n v="88"/>
    <x v="3"/>
    <m/>
    <x v="3"/>
    <m/>
    <x v="6"/>
    <n v="255"/>
    <x v="4"/>
    <m/>
    <m/>
  </r>
  <r>
    <x v="2"/>
    <s v="English"/>
    <n v="90"/>
    <x v="3"/>
    <m/>
    <x v="3"/>
    <m/>
    <x v="7"/>
    <n v="244"/>
    <x v="5"/>
    <m/>
    <m/>
  </r>
  <r>
    <x v="2"/>
    <s v="Mathematics"/>
    <n v="94"/>
    <x v="3"/>
    <m/>
    <x v="3"/>
    <m/>
    <x v="8"/>
    <n v="241"/>
    <x v="6"/>
    <m/>
    <m/>
  </r>
  <r>
    <x v="3"/>
    <s v="Bangla"/>
    <n v="65"/>
    <x v="3"/>
    <m/>
    <x v="3"/>
    <m/>
    <x v="9"/>
    <n v="225"/>
    <x v="7"/>
    <m/>
    <m/>
  </r>
  <r>
    <x v="3"/>
    <s v="English"/>
    <n v="70"/>
    <x v="3"/>
    <m/>
    <x v="3"/>
    <m/>
    <x v="10"/>
    <n v="224"/>
    <x v="8"/>
    <m/>
    <m/>
  </r>
  <r>
    <x v="3"/>
    <s v="Mathematics"/>
    <n v="76"/>
    <x v="3"/>
    <m/>
    <x v="3"/>
    <m/>
    <x v="11"/>
    <n v="216"/>
    <x v="9"/>
    <m/>
    <m/>
  </r>
  <r>
    <x v="4"/>
    <s v="Bangla"/>
    <n v="82"/>
    <x v="3"/>
    <m/>
    <x v="3"/>
    <m/>
    <x v="12"/>
    <n v="212"/>
    <x v="10"/>
    <m/>
    <m/>
  </r>
  <r>
    <x v="4"/>
    <s v="English"/>
    <n v="85"/>
    <x v="3"/>
    <m/>
    <x v="3"/>
    <m/>
    <x v="13"/>
    <n v="211"/>
    <x v="11"/>
    <m/>
    <m/>
  </r>
  <r>
    <x v="4"/>
    <s v="Mathematics"/>
    <n v="88"/>
    <x v="3"/>
    <m/>
    <x v="3"/>
    <m/>
    <x v="14"/>
    <n v="210"/>
    <x v="12"/>
    <m/>
    <m/>
  </r>
  <r>
    <x v="5"/>
    <s v="Bangla"/>
    <n v="71"/>
    <x v="3"/>
    <m/>
    <x v="3"/>
    <m/>
    <x v="15"/>
    <n v="138"/>
    <x v="13"/>
    <m/>
    <m/>
  </r>
  <r>
    <x v="5"/>
    <s v="English"/>
    <n v="68"/>
    <x v="3"/>
    <m/>
    <x v="3"/>
    <m/>
    <x v="16"/>
    <m/>
    <x v="14"/>
    <m/>
    <m/>
  </r>
  <r>
    <x v="5"/>
    <s v="Mathematics"/>
    <n v="73"/>
    <x v="3"/>
    <m/>
    <x v="3"/>
    <m/>
    <x v="16"/>
    <m/>
    <x v="14"/>
    <m/>
    <m/>
  </r>
  <r>
    <x v="6"/>
    <s v="Bangla"/>
    <n v="90"/>
    <x v="3"/>
    <m/>
    <x v="3"/>
    <m/>
    <x v="16"/>
    <m/>
    <x v="14"/>
    <m/>
    <m/>
  </r>
  <r>
    <x v="6"/>
    <s v="English"/>
    <n v="92"/>
    <x v="3"/>
    <m/>
    <x v="3"/>
    <m/>
    <x v="16"/>
    <m/>
    <x v="14"/>
    <m/>
    <m/>
  </r>
  <r>
    <x v="6"/>
    <s v="Mathematics"/>
    <n v="95"/>
    <x v="3"/>
    <m/>
    <x v="3"/>
    <m/>
    <x v="16"/>
    <m/>
    <x v="14"/>
    <m/>
    <m/>
  </r>
  <r>
    <x v="7"/>
    <s v="Bangla"/>
    <n v="77"/>
    <x v="3"/>
    <m/>
    <x v="3"/>
    <m/>
    <x v="16"/>
    <m/>
    <x v="14"/>
    <m/>
    <m/>
  </r>
  <r>
    <x v="7"/>
    <s v="English"/>
    <n v="80"/>
    <x v="3"/>
    <m/>
    <x v="3"/>
    <m/>
    <x v="16"/>
    <m/>
    <x v="14"/>
    <m/>
    <m/>
  </r>
  <r>
    <x v="7"/>
    <s v="Mathematics"/>
    <n v="84"/>
    <x v="3"/>
    <m/>
    <x v="3"/>
    <m/>
    <x v="16"/>
    <m/>
    <x v="14"/>
    <m/>
    <m/>
  </r>
  <r>
    <x v="8"/>
    <s v="Bangla"/>
    <n v="69"/>
    <x v="3"/>
    <m/>
    <x v="3"/>
    <m/>
    <x v="16"/>
    <m/>
    <x v="14"/>
    <m/>
    <m/>
  </r>
  <r>
    <x v="8"/>
    <s v="English"/>
    <n v="72"/>
    <x v="3"/>
    <m/>
    <x v="3"/>
    <m/>
    <x v="16"/>
    <m/>
    <x v="14"/>
    <m/>
    <m/>
  </r>
  <r>
    <x v="8"/>
    <s v="Mathematics"/>
    <n v="75"/>
    <x v="3"/>
    <m/>
    <x v="3"/>
    <m/>
    <x v="16"/>
    <m/>
    <x v="14"/>
    <m/>
    <m/>
  </r>
  <r>
    <x v="9"/>
    <s v="Bangla"/>
    <n v="88"/>
    <x v="3"/>
    <m/>
    <x v="3"/>
    <m/>
    <x v="16"/>
    <m/>
    <x v="14"/>
    <m/>
    <m/>
  </r>
  <r>
    <x v="9"/>
    <s v="English"/>
    <n v="86"/>
    <x v="3"/>
    <m/>
    <x v="3"/>
    <m/>
    <x v="16"/>
    <m/>
    <x v="14"/>
    <m/>
    <m/>
  </r>
  <r>
    <x v="9"/>
    <s v="Mathematics"/>
    <n v="91"/>
    <x v="3"/>
    <m/>
    <x v="3"/>
    <m/>
    <x v="16"/>
    <m/>
    <x v="14"/>
    <m/>
    <m/>
  </r>
  <r>
    <x v="10"/>
    <s v="Bangla"/>
    <n v="66"/>
    <x v="3"/>
    <m/>
    <x v="3"/>
    <m/>
    <x v="16"/>
    <m/>
    <x v="14"/>
    <m/>
    <m/>
  </r>
  <r>
    <x v="10"/>
    <s v="English"/>
    <n v="70"/>
    <x v="3"/>
    <m/>
    <x v="3"/>
    <m/>
    <x v="16"/>
    <m/>
    <x v="14"/>
    <m/>
    <m/>
  </r>
  <r>
    <x v="10"/>
    <s v="Mathematics"/>
    <n v="74"/>
    <x v="3"/>
    <m/>
    <x v="3"/>
    <m/>
    <x v="16"/>
    <m/>
    <x v="14"/>
    <m/>
    <m/>
  </r>
  <r>
    <x v="11"/>
    <s v="Bangla"/>
    <n v="83"/>
    <x v="3"/>
    <m/>
    <x v="3"/>
    <m/>
    <x v="16"/>
    <m/>
    <x v="14"/>
    <m/>
    <m/>
  </r>
  <r>
    <x v="11"/>
    <s v="English"/>
    <n v="85"/>
    <x v="3"/>
    <m/>
    <x v="3"/>
    <m/>
    <x v="16"/>
    <m/>
    <x v="14"/>
    <m/>
    <m/>
  </r>
  <r>
    <x v="11"/>
    <s v="Mathematics"/>
    <n v="87"/>
    <x v="3"/>
    <m/>
    <x v="3"/>
    <m/>
    <x v="16"/>
    <m/>
    <x v="14"/>
    <m/>
    <m/>
  </r>
  <r>
    <x v="12"/>
    <s v="Bangla"/>
    <n v="79"/>
    <x v="3"/>
    <m/>
    <x v="3"/>
    <m/>
    <x v="16"/>
    <m/>
    <x v="14"/>
    <m/>
    <m/>
  </r>
  <r>
    <x v="12"/>
    <s v="English"/>
    <n v="81"/>
    <x v="3"/>
    <m/>
    <x v="3"/>
    <m/>
    <x v="16"/>
    <m/>
    <x v="14"/>
    <m/>
    <m/>
  </r>
  <r>
    <x v="12"/>
    <s v="Mathematics"/>
    <n v="84"/>
    <x v="3"/>
    <m/>
    <x v="3"/>
    <m/>
    <x v="16"/>
    <m/>
    <x v="14"/>
    <m/>
    <m/>
  </r>
  <r>
    <x v="13"/>
    <s v="Bangla"/>
    <n v="72"/>
    <x v="3"/>
    <m/>
    <x v="3"/>
    <m/>
    <x v="16"/>
    <m/>
    <x v="14"/>
    <m/>
    <m/>
  </r>
  <r>
    <x v="13"/>
    <s v="English"/>
    <n v="75"/>
    <x v="3"/>
    <m/>
    <x v="3"/>
    <m/>
    <x v="16"/>
    <m/>
    <x v="14"/>
    <m/>
    <m/>
  </r>
  <r>
    <x v="13"/>
    <s v="Mathematics"/>
    <n v="78"/>
    <x v="3"/>
    <m/>
    <x v="3"/>
    <m/>
    <x v="16"/>
    <m/>
    <x v="14"/>
    <m/>
    <m/>
  </r>
  <r>
    <x v="14"/>
    <s v="Bangla"/>
    <n v="90"/>
    <x v="3"/>
    <m/>
    <x v="3"/>
    <m/>
    <x v="16"/>
    <m/>
    <x v="14"/>
    <m/>
    <m/>
  </r>
  <r>
    <x v="14"/>
    <s v="English"/>
    <n v="92"/>
    <x v="3"/>
    <m/>
    <x v="3"/>
    <m/>
    <x v="16"/>
    <m/>
    <x v="14"/>
    <m/>
    <m/>
  </r>
  <r>
    <x v="14"/>
    <s v="Mathematics"/>
    <n v="94"/>
    <x v="3"/>
    <m/>
    <x v="3"/>
    <m/>
    <x v="16"/>
    <m/>
    <x v="14"/>
    <m/>
    <m/>
  </r>
  <r>
    <x v="15"/>
    <s v="Bangla"/>
    <n v="68"/>
    <x v="3"/>
    <m/>
    <x v="3"/>
    <m/>
    <x v="16"/>
    <m/>
    <x v="14"/>
    <m/>
    <m/>
  </r>
  <r>
    <x v="15"/>
    <s v="English"/>
    <n v="70"/>
    <x v="3"/>
    <m/>
    <x v="3"/>
    <m/>
    <x v="16"/>
    <m/>
    <x v="14"/>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28"/>
    <s v="Male"/>
    <s v="Dhaka"/>
    <s v="Savings"/>
    <x v="0"/>
    <d v="2023-01-05T00:00:00"/>
    <x v="0"/>
    <x v="0"/>
    <n v="5000"/>
    <s v="Deposit"/>
    <x v="0"/>
    <s v="Home Loan"/>
    <s v="Approved"/>
    <x v="0"/>
    <s v="Dhaka"/>
  </r>
  <r>
    <x v="1"/>
    <n v="35"/>
    <s v="Male"/>
    <s v="Chittagong"/>
    <s v="Current"/>
    <x v="1"/>
    <d v="2023-01-10T00:00:00"/>
    <x v="0"/>
    <x v="0"/>
    <n v="2000"/>
    <s v="Withdrawal"/>
    <x v="1"/>
    <s v="Personal Loan"/>
    <s v="Approved"/>
    <x v="1"/>
    <s v="Dhaka"/>
  </r>
  <r>
    <x v="2"/>
    <n v="26"/>
    <s v="Female"/>
    <s v="Khulna"/>
    <s v="Savings"/>
    <x v="2"/>
    <d v="2023-01-15T00:00:00"/>
    <x v="1"/>
    <x v="1"/>
    <n v="3000"/>
    <s v="Deposit"/>
    <x v="2"/>
    <s v="Car Loan"/>
    <s v="Pending"/>
    <x v="2"/>
    <s v="Dhaka"/>
  </r>
  <r>
    <x v="3"/>
    <n v="30"/>
    <s v="Female"/>
    <s v="Rajshahi"/>
    <s v="Savings"/>
    <x v="3"/>
    <d v="2023-01-20T00:00:00"/>
    <x v="0"/>
    <x v="1"/>
    <n v="1500"/>
    <s v="Withdrawal"/>
    <x v="3"/>
    <s v="Education Loan"/>
    <s v="Approved"/>
    <x v="3"/>
    <s v="Dhaka"/>
  </r>
  <r>
    <x v="4"/>
    <n v="40"/>
    <s v="Male"/>
    <s v="Barisal"/>
    <s v="Current"/>
    <x v="4"/>
    <d v="2023-02-01T00:00:00"/>
    <x v="0"/>
    <x v="2"/>
    <n v="7000"/>
    <s v="Deposit"/>
    <x v="4"/>
    <s v="Business Loan"/>
    <s v="Rejected"/>
    <x v="4"/>
    <s v="Dhaka"/>
  </r>
  <r>
    <x v="5"/>
    <n v="22"/>
    <s v="Male"/>
    <s v="Sylhet"/>
    <s v="Savings"/>
    <x v="5"/>
    <d v="2023-02-05T00:00:00"/>
    <x v="0"/>
    <x v="2"/>
    <n v="2500"/>
    <s v="Withdrawal"/>
    <x v="5"/>
    <s v="Home Loan"/>
    <s v="Approved"/>
    <x v="0"/>
    <s v="Dhaka"/>
  </r>
  <r>
    <x v="6"/>
    <n v="27"/>
    <s v="Female"/>
    <s v="Dhaka"/>
    <s v="Savings"/>
    <x v="6"/>
    <d v="2023-02-10T00:00:00"/>
    <x v="1"/>
    <x v="3"/>
    <n v="4000"/>
    <s v="Deposit"/>
    <x v="6"/>
    <s v="Personal Loan"/>
    <s v="Pending"/>
    <x v="1"/>
    <s v="Dhaka"/>
  </r>
  <r>
    <x v="7"/>
    <n v="34"/>
    <s v="Male"/>
    <s v="Chittagong"/>
    <s v="Current"/>
    <x v="7"/>
    <d v="2023-02-15T00:00:00"/>
    <x v="0"/>
    <x v="3"/>
    <n v="1800"/>
    <s v="Withdrawal"/>
    <x v="7"/>
    <s v="Car Loan"/>
    <s v="Approved"/>
    <x v="2"/>
    <s v="Dhaka"/>
  </r>
  <r>
    <x v="8"/>
    <n v="29"/>
    <s v="Female"/>
    <s v="Khulna"/>
    <s v="Savings"/>
    <x v="8"/>
    <d v="2023-02-20T00:00:00"/>
    <x v="0"/>
    <x v="4"/>
    <n v="6000"/>
    <s v="Deposit"/>
    <x v="8"/>
    <s v="Education Loan"/>
    <s v="Approved"/>
    <x v="3"/>
    <s v="Dhaka"/>
  </r>
  <r>
    <x v="9"/>
    <n v="45"/>
    <s v="Male"/>
    <s v="Rajshahi"/>
    <s v="Current"/>
    <x v="9"/>
    <d v="2023-03-01T00:00:00"/>
    <x v="0"/>
    <x v="4"/>
    <n v="2200"/>
    <s v="Withdrawal"/>
    <x v="9"/>
    <s v="Business Loan"/>
    <s v="Rejected"/>
    <x v="4"/>
    <s v="Dhaka"/>
  </r>
  <r>
    <x v="10"/>
    <n v="33"/>
    <s v="Female"/>
    <s v="Barisal"/>
    <s v="Savings"/>
    <x v="10"/>
    <d v="2023-03-05T00:00:00"/>
    <x v="0"/>
    <x v="5"/>
    <n v="5500"/>
    <s v="Deposit"/>
    <x v="10"/>
    <s v="Home Loan"/>
    <s v="Approved"/>
    <x v="0"/>
    <s v="Dhaka"/>
  </r>
  <r>
    <x v="11"/>
    <n v="25"/>
    <s v="Male"/>
    <s v="Sylhet"/>
    <s v="Savings"/>
    <x v="11"/>
    <d v="2023-03-10T00:00:00"/>
    <x v="0"/>
    <x v="5"/>
    <n v="2100"/>
    <s v="Withdrawal"/>
    <x v="11"/>
    <s v="Personal Loan"/>
    <s v="Approved"/>
    <x v="1"/>
    <s v="Dhaka"/>
  </r>
  <r>
    <x v="12"/>
    <n v="31"/>
    <s v="Female"/>
    <s v="Dhaka"/>
    <s v="Savings"/>
    <x v="12"/>
    <d v="2023-03-15T00:00:00"/>
    <x v="1"/>
    <x v="6"/>
    <n v="3500"/>
    <s v="Deposit"/>
    <x v="12"/>
    <s v="Car Loan"/>
    <s v="Pending"/>
    <x v="2"/>
    <s v="Dhaka"/>
  </r>
  <r>
    <x v="13"/>
    <n v="37"/>
    <s v="Male"/>
    <s v="Chittagong"/>
    <s v="Current"/>
    <x v="13"/>
    <d v="2023-03-20T00:00:00"/>
    <x v="0"/>
    <x v="6"/>
    <n v="1700"/>
    <s v="Withdrawal"/>
    <x v="13"/>
    <s v="Education Loan"/>
    <s v="Approved"/>
    <x v="3"/>
    <s v="Dhaka"/>
  </r>
  <r>
    <x v="14"/>
    <n v="24"/>
    <s v="Female"/>
    <s v="Khulna"/>
    <s v="Savings"/>
    <x v="14"/>
    <d v="2023-04-01T00:00:00"/>
    <x v="0"/>
    <x v="7"/>
    <n v="8000"/>
    <s v="Deposit"/>
    <x v="0"/>
    <s v="Business Loan"/>
    <s v="Approved"/>
    <x v="4"/>
    <s v="Dhaka"/>
  </r>
  <r>
    <x v="15"/>
    <n v="42"/>
    <s v="Male"/>
    <s v="Rajshahi"/>
    <s v="Current"/>
    <x v="15"/>
    <d v="2023-04-05T00:00:00"/>
    <x v="0"/>
    <x v="7"/>
    <n v="2600"/>
    <s v="Withdrawal"/>
    <x v="14"/>
    <s v="Home Loan"/>
    <s v="Approved"/>
    <x v="0"/>
    <s v="Dhaka"/>
  </r>
  <r>
    <x v="16"/>
    <n v="28"/>
    <s v="Female"/>
    <s v="Barisal"/>
    <s v="Savings"/>
    <x v="16"/>
    <d v="2023-04-10T00:00:00"/>
    <x v="1"/>
    <x v="8"/>
    <n v="4500"/>
    <s v="Deposit"/>
    <x v="15"/>
    <s v="Personal Loan"/>
    <s v="Pending"/>
    <x v="1"/>
    <s v="Dhaka"/>
  </r>
  <r>
    <x v="17"/>
    <n v="36"/>
    <s v="Male"/>
    <s v="Sylhet"/>
    <s v="Current"/>
    <x v="17"/>
    <d v="2023-04-15T00:00:00"/>
    <x v="0"/>
    <x v="8"/>
    <n v="1900"/>
    <s v="Withdrawal"/>
    <x v="16"/>
    <s v="Car Loan"/>
    <s v="Approved"/>
    <x v="2"/>
    <s v="Dhaka"/>
  </r>
  <r>
    <x v="18"/>
    <n v="34"/>
    <s v="Female"/>
    <s v="Dhaka"/>
    <s v="Savings"/>
    <x v="18"/>
    <d v="2023-04-20T00:00:00"/>
    <x v="0"/>
    <x v="9"/>
    <n v="6500"/>
    <s v="Deposit"/>
    <x v="17"/>
    <s v="Education Loan"/>
    <s v="Rejected"/>
    <x v="3"/>
    <s v="Dhaka"/>
  </r>
  <r>
    <x v="19"/>
    <n v="50"/>
    <s v="Male"/>
    <s v="Chittagong"/>
    <s v="Current"/>
    <x v="19"/>
    <d v="2023-05-01T00:00:00"/>
    <x v="0"/>
    <x v="9"/>
    <n v="2300"/>
    <s v="Withdrawal"/>
    <x v="18"/>
    <s v="Business Loan"/>
    <s v="Approved"/>
    <x v="4"/>
    <s v="Dhaka"/>
  </r>
  <r>
    <x v="20"/>
    <n v="23"/>
    <s v="Female"/>
    <s v="Khulna"/>
    <s v="Savings"/>
    <x v="20"/>
    <d v="2023-05-05T00:00:00"/>
    <x v="0"/>
    <x v="10"/>
    <n v="7200"/>
    <s v="Deposit"/>
    <x v="19"/>
    <s v="Home Loan"/>
    <s v="Approved"/>
    <x v="0"/>
    <s v="Dhaka"/>
  </r>
  <r>
    <x v="21"/>
    <n v="39"/>
    <s v="Male"/>
    <s v="Rajshahi"/>
    <s v="Current"/>
    <x v="21"/>
    <d v="2023-05-10T00:00:00"/>
    <x v="0"/>
    <x v="10"/>
    <n v="2400"/>
    <s v="Withdrawal"/>
    <x v="20"/>
    <s v="Personal Loan"/>
    <s v="Approved"/>
    <x v="1"/>
    <s v="Dhaka"/>
  </r>
  <r>
    <x v="22"/>
    <n v="27"/>
    <s v="Female"/>
    <s v="Barisal"/>
    <s v="Savings"/>
    <x v="22"/>
    <d v="2023-05-15T00:00:00"/>
    <x v="1"/>
    <x v="11"/>
    <n v="3800"/>
    <s v="Deposit"/>
    <x v="21"/>
    <s v="Car Loan"/>
    <s v="Pending"/>
    <x v="2"/>
    <s v="Dhaka"/>
  </r>
  <r>
    <x v="23"/>
    <n v="32"/>
    <s v="Male"/>
    <s v="Sylhet"/>
    <s v="Savings"/>
    <x v="23"/>
    <d v="2023-05-20T00:00:00"/>
    <x v="0"/>
    <x v="11"/>
    <n v="1600"/>
    <s v="Withdrawal"/>
    <x v="22"/>
    <s v="Education Loan"/>
    <s v="Approved"/>
    <x v="3"/>
    <s v="Dhaka"/>
  </r>
  <r>
    <x v="24"/>
    <n v="41"/>
    <s v="Female"/>
    <s v="Dhaka"/>
    <s v="Current"/>
    <x v="24"/>
    <d v="2023-06-01T00:00:00"/>
    <x v="0"/>
    <x v="12"/>
    <n v="9000"/>
    <s v="Deposit"/>
    <x v="5"/>
    <s v="Business Loan"/>
    <s v="Approved"/>
    <x v="4"/>
    <s v="Dhaka"/>
  </r>
  <r>
    <x v="25"/>
    <n v="29"/>
    <s v="Male"/>
    <s v="Chittagong"/>
    <s v="Savings"/>
    <x v="25"/>
    <d v="2023-06-05T00:00:00"/>
    <x v="0"/>
    <x v="12"/>
    <n v="2700"/>
    <s v="Withdrawal"/>
    <x v="23"/>
    <s v="Home Loan"/>
    <s v="Approved"/>
    <x v="0"/>
    <s v="Dhaka"/>
  </r>
  <r>
    <x v="26"/>
    <n v="35"/>
    <s v="Female"/>
    <s v="Khulna"/>
    <s v="Current"/>
    <x v="26"/>
    <d v="2023-06-10T00:00:00"/>
    <x v="1"/>
    <x v="13"/>
    <n v="5000"/>
    <s v="Deposit"/>
    <x v="24"/>
    <s v="Personal Loan"/>
    <s v="Rejected"/>
    <x v="1"/>
    <s v="Dhaka"/>
  </r>
  <r>
    <x v="27"/>
    <n v="26"/>
    <s v="Male"/>
    <s v="Rajshahi"/>
    <s v="Savings"/>
    <x v="27"/>
    <d v="2023-06-15T00:00:00"/>
    <x v="0"/>
    <x v="13"/>
    <n v="2000"/>
    <s v="Withdrawal"/>
    <x v="25"/>
    <s v="Car Loan"/>
    <s v="Approved"/>
    <x v="2"/>
    <s v="Dhaka"/>
  </r>
  <r>
    <x v="28"/>
    <n v="31"/>
    <s v="Female"/>
    <s v="Barisal"/>
    <s v="Savings"/>
    <x v="28"/>
    <d v="2023-06-20T00:00:00"/>
    <x v="0"/>
    <x v="14"/>
    <n v="6800"/>
    <s v="Deposit"/>
    <x v="1"/>
    <s v="Education Loan"/>
    <s v="Pending"/>
    <x v="3"/>
    <s v="Dhaka"/>
  </r>
  <r>
    <x v="29"/>
    <n v="44"/>
    <s v="Male"/>
    <s v="Sylhet"/>
    <s v="Current"/>
    <x v="29"/>
    <d v="2023-07-01T00:00:00"/>
    <x v="0"/>
    <x v="14"/>
    <n v="2500"/>
    <s v="Withdrawal"/>
    <x v="26"/>
    <s v="Business Loan"/>
    <s v="Approved"/>
    <x v="4"/>
    <s v="Dhaka"/>
  </r>
  <r>
    <x v="30"/>
    <n v="24"/>
    <s v="Female"/>
    <s v="Dhaka"/>
    <s v="Savings"/>
    <x v="30"/>
    <d v="2023-07-05T00:00:00"/>
    <x v="0"/>
    <x v="15"/>
    <n v="7500"/>
    <s v="Deposit"/>
    <x v="27"/>
    <s v="Home Loan"/>
    <s v="Approved"/>
    <x v="0"/>
    <s v="Dhaka"/>
  </r>
  <r>
    <x v="31"/>
    <n v="38"/>
    <s v="Male"/>
    <s v="Chittagong"/>
    <s v="Current"/>
    <x v="31"/>
    <d v="2023-07-10T00:00:00"/>
    <x v="0"/>
    <x v="15"/>
    <n v="2600"/>
    <s v="Withdrawal"/>
    <x v="2"/>
    <s v="Personal Loan"/>
    <s v="Approved"/>
    <x v="1"/>
    <s v="Dhaka"/>
  </r>
  <r>
    <x v="32"/>
    <n v="29"/>
    <s v="Female"/>
    <s v="Khulna"/>
    <s v="Savings"/>
    <x v="32"/>
    <d v="2023-07-15T00:00:00"/>
    <x v="1"/>
    <x v="16"/>
    <n v="4200"/>
    <s v="Deposit"/>
    <x v="28"/>
    <s v="Car Loan"/>
    <s v="Pending"/>
    <x v="2"/>
    <s v="Dhaka"/>
  </r>
  <r>
    <x v="33"/>
    <n v="47"/>
    <s v="Male"/>
    <s v="Rajshahi"/>
    <s v="Current"/>
    <x v="33"/>
    <d v="2023-07-20T00:00:00"/>
    <x v="0"/>
    <x v="16"/>
    <n v="1800"/>
    <s v="Withdrawal"/>
    <x v="11"/>
    <s v="Education Loan"/>
    <s v="Approved"/>
    <x v="3"/>
    <s v="Dhaka"/>
  </r>
  <r>
    <x v="34"/>
    <n v="25"/>
    <s v="Female"/>
    <s v="Barisal"/>
    <s v="Savings"/>
    <x v="34"/>
    <d v="2023-08-01T00:00:00"/>
    <x v="0"/>
    <x v="17"/>
    <n v="10000"/>
    <s v="Deposit"/>
    <x v="10"/>
    <s v="Business Loan"/>
    <s v="Rejected"/>
    <x v="4"/>
    <s v="Dhaka"/>
  </r>
  <r>
    <x v="35"/>
    <n v="34"/>
    <s v="Male"/>
    <s v="Sylhet"/>
    <s v="Savings"/>
    <x v="35"/>
    <d v="2023-08-05T00:00:00"/>
    <x v="0"/>
    <x v="17"/>
    <n v="3000"/>
    <s v="Withdrawal"/>
    <x v="29"/>
    <s v="Home Loan"/>
    <s v="Approved"/>
    <x v="0"/>
    <s v="Dhaka"/>
  </r>
  <r>
    <x v="36"/>
    <n v="28"/>
    <s v="Female"/>
    <s v="Dhaka"/>
    <s v="Savings"/>
    <x v="6"/>
    <d v="2023-08-10T00:00:00"/>
    <x v="1"/>
    <x v="18"/>
    <n v="5300"/>
    <s v="Deposit"/>
    <x v="30"/>
    <s v="Personal Loan"/>
    <s v="Pending"/>
    <x v="1"/>
    <s v="Dhaka"/>
  </r>
  <r>
    <x v="37"/>
    <n v="41"/>
    <s v="Male"/>
    <s v="Chittagong"/>
    <s v="Current"/>
    <x v="36"/>
    <d v="2023-08-15T00:00:00"/>
    <x v="0"/>
    <x v="18"/>
    <n v="2100"/>
    <s v="Withdrawal"/>
    <x v="9"/>
    <s v="Car Loan"/>
    <s v="Approved"/>
    <x v="2"/>
    <s v="Dhaka"/>
  </r>
  <r>
    <x v="38"/>
    <n v="36"/>
    <s v="Female"/>
    <s v="Khulna"/>
    <s v="Current"/>
    <x v="7"/>
    <d v="2023-08-20T00:00:00"/>
    <x v="0"/>
    <x v="19"/>
    <n v="7700"/>
    <s v="Deposit"/>
    <x v="6"/>
    <s v="Education Loan"/>
    <s v="Approved"/>
    <x v="3"/>
    <s v="Dhaka"/>
  </r>
  <r>
    <x v="39"/>
    <n v="52"/>
    <s v="Male"/>
    <s v="Rajshahi"/>
    <s v="Current"/>
    <x v="37"/>
    <d v="2023-09-01T00:00:00"/>
    <x v="0"/>
    <x v="19"/>
    <n v="2800"/>
    <s v="Withdrawal"/>
    <x v="31"/>
    <s v="Business Loan"/>
    <s v="Approved"/>
    <x v="4"/>
    <s v="Dhaka"/>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Laptop"/>
    <x v="0"/>
    <n v="65000"/>
    <n v="75000"/>
    <x v="0"/>
    <x v="0"/>
    <n v="2"/>
    <n v="150000"/>
    <n v="20000"/>
  </r>
  <r>
    <x v="1"/>
    <s v="Mouse"/>
    <x v="0"/>
    <n v="500"/>
    <n v="800"/>
    <x v="1"/>
    <x v="0"/>
    <n v="3"/>
    <n v="2400"/>
    <n v="900"/>
  </r>
  <r>
    <x v="2"/>
    <s v="Keyboard"/>
    <x v="0"/>
    <n v="1000"/>
    <n v="1500"/>
    <x v="2"/>
    <x v="1"/>
    <n v="1"/>
    <n v="1500"/>
    <n v="500"/>
  </r>
  <r>
    <x v="3"/>
    <s v="Monitor"/>
    <x v="0"/>
    <n v="18000"/>
    <n v="22000"/>
    <x v="3"/>
    <x v="1"/>
    <n v="4"/>
    <n v="88000"/>
    <n v="16000"/>
  </r>
  <r>
    <x v="4"/>
    <s v="Headphone"/>
    <x v="0"/>
    <n v="1800"/>
    <n v="2500"/>
    <x v="0"/>
    <x v="2"/>
    <n v="2"/>
    <n v="5000"/>
    <n v="1400"/>
  </r>
  <r>
    <x v="5"/>
    <s v="Printer"/>
    <x v="0"/>
    <n v="15000"/>
    <n v="18000"/>
    <x v="1"/>
    <x v="2"/>
    <n v="5"/>
    <n v="90000"/>
    <n v="15000"/>
  </r>
  <r>
    <x v="6"/>
    <s v="Tablet"/>
    <x v="0"/>
    <n v="30000"/>
    <n v="35000"/>
    <x v="2"/>
    <x v="3"/>
    <n v="3"/>
    <n v="105000"/>
    <n v="15000"/>
  </r>
  <r>
    <x v="7"/>
    <s v="Mobile"/>
    <x v="0"/>
    <n v="38000"/>
    <n v="42000"/>
    <x v="3"/>
    <x v="3"/>
    <n v="1"/>
    <n v="42000"/>
    <n v="4000"/>
  </r>
  <r>
    <x v="8"/>
    <s v="Charger"/>
    <x v="1"/>
    <n v="800"/>
    <n v="1200"/>
    <x v="0"/>
    <x v="4"/>
    <n v="4"/>
    <n v="4800"/>
    <n v="1600"/>
  </r>
  <r>
    <x v="9"/>
    <s v="Power Bank"/>
    <x v="1"/>
    <n v="2200"/>
    <n v="3000"/>
    <x v="1"/>
    <x v="4"/>
    <n v="2"/>
    <n v="6000"/>
    <n v="1600"/>
  </r>
  <r>
    <x v="10"/>
    <s v="Laptop"/>
    <x v="0"/>
    <n v="65000"/>
    <n v="75000"/>
    <x v="2"/>
    <x v="5"/>
    <n v="3"/>
    <n v="225000"/>
    <n v="30000"/>
  </r>
  <r>
    <x v="11"/>
    <s v="Mouse"/>
    <x v="0"/>
    <n v="500"/>
    <n v="800"/>
    <x v="3"/>
    <x v="5"/>
    <n v="1"/>
    <n v="800"/>
    <n v="300"/>
  </r>
  <r>
    <x v="12"/>
    <s v="Keyboard"/>
    <x v="0"/>
    <n v="1000"/>
    <n v="1500"/>
    <x v="0"/>
    <x v="6"/>
    <n v="2"/>
    <n v="3000"/>
    <n v="1000"/>
  </r>
  <r>
    <x v="13"/>
    <s v="Monitor"/>
    <x v="0"/>
    <n v="18000"/>
    <n v="22000"/>
    <x v="1"/>
    <x v="6"/>
    <n v="5"/>
    <n v="110000"/>
    <n v="20000"/>
  </r>
  <r>
    <x v="14"/>
    <s v="Headphone"/>
    <x v="0"/>
    <n v="1800"/>
    <n v="2500"/>
    <x v="2"/>
    <x v="7"/>
    <n v="3"/>
    <n v="7500"/>
    <n v="2100"/>
  </r>
  <r>
    <x v="15"/>
    <s v="Printer"/>
    <x v="0"/>
    <n v="15000"/>
    <n v="18000"/>
    <x v="3"/>
    <x v="7"/>
    <n v="2"/>
    <n v="36000"/>
    <n v="6000"/>
  </r>
  <r>
    <x v="16"/>
    <s v="Tablet"/>
    <x v="0"/>
    <n v="30000"/>
    <n v="35000"/>
    <x v="0"/>
    <x v="8"/>
    <n v="4"/>
    <n v="140000"/>
    <n v="20000"/>
  </r>
  <r>
    <x v="17"/>
    <s v="Mobile"/>
    <x v="0"/>
    <n v="38000"/>
    <n v="42000"/>
    <x v="1"/>
    <x v="8"/>
    <n v="1"/>
    <n v="42000"/>
    <n v="4000"/>
  </r>
  <r>
    <x v="18"/>
    <s v="Charger"/>
    <x v="1"/>
    <n v="800"/>
    <n v="1200"/>
    <x v="2"/>
    <x v="9"/>
    <n v="3"/>
    <n v="3600"/>
    <n v="1200"/>
  </r>
  <r>
    <x v="19"/>
    <s v="Power Bank"/>
    <x v="1"/>
    <n v="2200"/>
    <n v="3000"/>
    <x v="3"/>
    <x v="9"/>
    <n v="2"/>
    <n v="6000"/>
    <n v="1600"/>
  </r>
  <r>
    <x v="20"/>
    <s v="Laptop"/>
    <x v="0"/>
    <n v="65000"/>
    <n v="75000"/>
    <x v="0"/>
    <x v="10"/>
    <n v="4"/>
    <n v="300000"/>
    <n v="40000"/>
  </r>
  <r>
    <x v="21"/>
    <s v="Mouse"/>
    <x v="0"/>
    <n v="500"/>
    <n v="800"/>
    <x v="1"/>
    <x v="10"/>
    <n v="3"/>
    <n v="2400"/>
    <n v="900"/>
  </r>
  <r>
    <x v="22"/>
    <s v="Keyboard"/>
    <x v="0"/>
    <n v="1000"/>
    <n v="1500"/>
    <x v="2"/>
    <x v="11"/>
    <n v="1"/>
    <n v="1500"/>
    <n v="500"/>
  </r>
  <r>
    <x v="23"/>
    <s v="Monitor"/>
    <x v="0"/>
    <n v="18000"/>
    <n v="22000"/>
    <x v="3"/>
    <x v="11"/>
    <n v="2"/>
    <n v="44000"/>
    <n v="8000"/>
  </r>
  <r>
    <x v="24"/>
    <s v="Headphone"/>
    <x v="0"/>
    <n v="1800"/>
    <n v="2500"/>
    <x v="0"/>
    <x v="12"/>
    <n v="5"/>
    <n v="12500"/>
    <n v="3500"/>
  </r>
  <r>
    <x v="25"/>
    <s v="Printer"/>
    <x v="0"/>
    <n v="15000"/>
    <n v="18000"/>
    <x v="1"/>
    <x v="12"/>
    <n v="3"/>
    <n v="54000"/>
    <n v="9000"/>
  </r>
  <r>
    <x v="26"/>
    <s v="Tablet"/>
    <x v="0"/>
    <n v="30000"/>
    <n v="35000"/>
    <x v="2"/>
    <x v="13"/>
    <n v="2"/>
    <n v="70000"/>
    <n v="10000"/>
  </r>
  <r>
    <x v="27"/>
    <s v="Mobile"/>
    <x v="0"/>
    <n v="38000"/>
    <n v="42000"/>
    <x v="3"/>
    <x v="13"/>
    <n v="4"/>
    <n v="168000"/>
    <n v="16000"/>
  </r>
  <r>
    <x v="28"/>
    <s v="Charger"/>
    <x v="1"/>
    <n v="800"/>
    <n v="1200"/>
    <x v="0"/>
    <x v="14"/>
    <n v="1"/>
    <n v="1200"/>
    <n v="400"/>
  </r>
  <r>
    <x v="29"/>
    <s v="Power Bank"/>
    <x v="1"/>
    <n v="2200"/>
    <n v="3000"/>
    <x v="1"/>
    <x v="14"/>
    <n v="3"/>
    <n v="9000"/>
    <n v="2400"/>
  </r>
  <r>
    <x v="30"/>
    <s v="Laptop"/>
    <x v="0"/>
    <n v="65000"/>
    <n v="75000"/>
    <x v="2"/>
    <x v="15"/>
    <n v="2"/>
    <n v="150000"/>
    <n v="20000"/>
  </r>
  <r>
    <x v="31"/>
    <s v="Mouse"/>
    <x v="0"/>
    <n v="500"/>
    <n v="800"/>
    <x v="3"/>
    <x v="15"/>
    <n v="5"/>
    <n v="4000"/>
    <n v="1500"/>
  </r>
  <r>
    <x v="32"/>
    <s v="Keyboard"/>
    <x v="0"/>
    <n v="1000"/>
    <n v="1500"/>
    <x v="0"/>
    <x v="16"/>
    <n v="4"/>
    <n v="6000"/>
    <n v="2000"/>
  </r>
  <r>
    <x v="33"/>
    <s v="Monitor"/>
    <x v="0"/>
    <n v="18000"/>
    <n v="22000"/>
    <x v="1"/>
    <x v="16"/>
    <n v="1"/>
    <n v="22000"/>
    <n v="4000"/>
  </r>
  <r>
    <x v="34"/>
    <s v="Headphone"/>
    <x v="0"/>
    <n v="1800"/>
    <n v="2500"/>
    <x v="2"/>
    <x v="17"/>
    <n v="3"/>
    <n v="7500"/>
    <n v="2100"/>
  </r>
  <r>
    <x v="35"/>
    <s v="Printer"/>
    <x v="0"/>
    <n v="15000"/>
    <n v="18000"/>
    <x v="3"/>
    <x v="17"/>
    <n v="2"/>
    <n v="36000"/>
    <n v="6000"/>
  </r>
  <r>
    <x v="36"/>
    <s v="Tablet"/>
    <x v="0"/>
    <n v="30000"/>
    <n v="35000"/>
    <x v="0"/>
    <x v="18"/>
    <n v="5"/>
    <n v="175000"/>
    <n v="25000"/>
  </r>
  <r>
    <x v="37"/>
    <s v="Mobile"/>
    <x v="0"/>
    <n v="38000"/>
    <n v="42000"/>
    <x v="1"/>
    <x v="18"/>
    <n v="3"/>
    <n v="126000"/>
    <n v="12000"/>
  </r>
  <r>
    <x v="38"/>
    <s v="Charger"/>
    <x v="1"/>
    <n v="800"/>
    <n v="1200"/>
    <x v="2"/>
    <x v="19"/>
    <n v="4"/>
    <n v="4800"/>
    <n v="1600"/>
  </r>
  <r>
    <x v="39"/>
    <s v="Power Bank"/>
    <x v="1"/>
    <n v="2200"/>
    <n v="3000"/>
    <x v="3"/>
    <x v="19"/>
    <n v="2"/>
    <n v="6000"/>
    <n v="1600"/>
  </r>
  <r>
    <x v="40"/>
    <s v="Laptop"/>
    <x v="0"/>
    <n v="65000"/>
    <n v="75000"/>
    <x v="0"/>
    <x v="20"/>
    <n v="3"/>
    <n v="225000"/>
    <n v="30000"/>
  </r>
  <r>
    <x v="41"/>
    <s v="Mouse"/>
    <x v="0"/>
    <n v="500"/>
    <n v="800"/>
    <x v="1"/>
    <x v="20"/>
    <n v="1"/>
    <n v="800"/>
    <n v="300"/>
  </r>
  <r>
    <x v="42"/>
    <s v="Keyboard"/>
    <x v="0"/>
    <n v="1000"/>
    <n v="1500"/>
    <x v="2"/>
    <x v="21"/>
    <n v="2"/>
    <n v="3000"/>
    <n v="1000"/>
  </r>
  <r>
    <x v="43"/>
    <s v="Monitor"/>
    <x v="0"/>
    <n v="18000"/>
    <n v="22000"/>
    <x v="3"/>
    <x v="21"/>
    <n v="4"/>
    <n v="88000"/>
    <n v="16000"/>
  </r>
  <r>
    <x v="44"/>
    <s v="Headphone"/>
    <x v="0"/>
    <n v="1800"/>
    <n v="2500"/>
    <x v="0"/>
    <x v="22"/>
    <n v="5"/>
    <n v="12500"/>
    <n v="3500"/>
  </r>
  <r>
    <x v="45"/>
    <s v="Printer"/>
    <x v="0"/>
    <n v="15000"/>
    <n v="18000"/>
    <x v="1"/>
    <x v="22"/>
    <n v="3"/>
    <n v="54000"/>
    <n v="9000"/>
  </r>
  <r>
    <x v="46"/>
    <s v="Tablet"/>
    <x v="0"/>
    <n v="30000"/>
    <n v="35000"/>
    <x v="2"/>
    <x v="23"/>
    <n v="2"/>
    <n v="70000"/>
    <n v="10000"/>
  </r>
  <r>
    <x v="47"/>
    <s v="Mobile"/>
    <x v="0"/>
    <n v="38000"/>
    <n v="42000"/>
    <x v="3"/>
    <x v="23"/>
    <n v="1"/>
    <n v="42000"/>
    <n v="4000"/>
  </r>
  <r>
    <x v="48"/>
    <s v="Charger"/>
    <x v="1"/>
    <n v="800"/>
    <n v="1200"/>
    <x v="0"/>
    <x v="24"/>
    <n v="4"/>
    <n v="4800"/>
    <n v="1600"/>
  </r>
  <r>
    <x v="49"/>
    <s v="Power Bank"/>
    <x v="1"/>
    <n v="2200"/>
    <n v="3000"/>
    <x v="1"/>
    <x v="24"/>
    <n v="3"/>
    <n v="9000"/>
    <n v="240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n v="55000"/>
    <x v="0"/>
    <x v="0"/>
    <x v="0"/>
  </r>
  <r>
    <x v="1"/>
    <x v="1"/>
    <x v="1"/>
    <n v="50000"/>
    <x v="0"/>
    <x v="0"/>
    <x v="0"/>
  </r>
  <r>
    <x v="2"/>
    <x v="1"/>
    <x v="2"/>
    <n v="48000"/>
    <x v="0"/>
    <x v="0"/>
    <x v="0"/>
  </r>
  <r>
    <x v="3"/>
    <x v="0"/>
    <x v="3"/>
    <n v="42000"/>
    <x v="0"/>
    <x v="1"/>
    <x v="0"/>
  </r>
  <r>
    <x v="4"/>
    <x v="2"/>
    <x v="4"/>
    <n v="40000"/>
    <x v="0"/>
    <x v="1"/>
    <x v="0"/>
  </r>
  <r>
    <x v="5"/>
    <x v="2"/>
    <x v="5"/>
    <n v="38000"/>
    <x v="0"/>
    <x v="0"/>
    <x v="1"/>
  </r>
  <r>
    <x v="6"/>
    <x v="3"/>
    <x v="6"/>
    <n v="37000"/>
    <x v="0"/>
    <x v="0"/>
    <x v="1"/>
  </r>
  <r>
    <x v="7"/>
    <x v="3"/>
    <x v="7"/>
    <n v="36000"/>
    <x v="0"/>
    <x v="1"/>
    <x v="1"/>
  </r>
  <r>
    <x v="8"/>
    <x v="4"/>
    <x v="8"/>
    <n v="35000"/>
    <x v="0"/>
    <x v="0"/>
    <x v="1"/>
  </r>
  <r>
    <x v="9"/>
    <x v="4"/>
    <x v="9"/>
    <n v="34000"/>
    <x v="0"/>
    <x v="0"/>
    <x v="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105274"/>
  </r>
  <r>
    <x v="1"/>
    <n v="129454"/>
  </r>
  <r>
    <x v="2"/>
    <n v="38415"/>
  </r>
  <r>
    <x v="3"/>
    <n v="39546"/>
  </r>
  <r>
    <x v="4"/>
    <n v="116415"/>
  </r>
  <r>
    <x v="5"/>
    <n v="126191"/>
  </r>
  <r>
    <x v="6"/>
    <n v="11745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3575"/>
  </r>
  <r>
    <x v="1"/>
    <x v="0"/>
    <n v="3575"/>
  </r>
  <r>
    <x v="2"/>
    <x v="0"/>
    <n v="3575"/>
  </r>
  <r>
    <x v="3"/>
    <x v="0"/>
    <n v="3575"/>
  </r>
  <r>
    <x v="4"/>
    <x v="0"/>
    <n v="3575"/>
  </r>
  <r>
    <x v="5"/>
    <x v="0"/>
    <n v="3575"/>
  </r>
  <r>
    <x v="6"/>
    <x v="0"/>
    <n v="3575"/>
  </r>
  <r>
    <x v="7"/>
    <x v="0"/>
    <n v="3575"/>
  </r>
  <r>
    <x v="8"/>
    <x v="0"/>
    <n v="3575"/>
  </r>
  <r>
    <x v="9"/>
    <x v="0"/>
    <n v="3575"/>
  </r>
  <r>
    <x v="10"/>
    <x v="0"/>
    <n v="3250"/>
  </r>
  <r>
    <x v="11"/>
    <x v="0"/>
    <n v="3250"/>
  </r>
  <r>
    <x v="12"/>
    <x v="0"/>
    <n v="3250"/>
  </r>
  <r>
    <x v="13"/>
    <x v="0"/>
    <n v="3250"/>
  </r>
  <r>
    <x v="14"/>
    <x v="0"/>
    <n v="3250"/>
  </r>
  <r>
    <x v="15"/>
    <x v="0"/>
    <n v="3250"/>
  </r>
  <r>
    <x v="16"/>
    <x v="0"/>
    <n v="3250"/>
  </r>
  <r>
    <x v="17"/>
    <x v="0"/>
    <n v="3250"/>
  </r>
  <r>
    <x v="18"/>
    <x v="0"/>
    <n v="3250"/>
  </r>
  <r>
    <x v="19"/>
    <x v="0"/>
    <n v="325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11250"/>
  </r>
  <r>
    <x v="1"/>
    <n v="189800"/>
  </r>
  <r>
    <x v="2"/>
    <n v="138450"/>
  </r>
  <r>
    <x v="3"/>
    <n v="89700"/>
  </r>
  <r>
    <x v="4"/>
    <n v="43550"/>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x v="0"/>
    <x v="0"/>
    <x v="0"/>
    <x v="0"/>
  </r>
  <r>
    <x v="1"/>
    <x v="1"/>
    <x v="1"/>
    <x v="1"/>
    <x v="1"/>
    <x v="1"/>
    <x v="1"/>
    <x v="1"/>
  </r>
  <r>
    <x v="2"/>
    <x v="2"/>
    <x v="2"/>
    <x v="2"/>
    <x v="2"/>
    <x v="2"/>
    <x v="2"/>
    <x v="2"/>
  </r>
  <r>
    <x v="3"/>
    <x v="3"/>
    <x v="3"/>
    <x v="3"/>
    <x v="3"/>
    <x v="3"/>
    <x v="3"/>
    <x v="3"/>
  </r>
  <r>
    <x v="4"/>
    <x v="4"/>
    <x v="4"/>
    <x v="4"/>
    <x v="4"/>
    <x v="4"/>
    <x v="4"/>
    <x v="4"/>
  </r>
  <r>
    <x v="5"/>
    <x v="5"/>
    <x v="5"/>
    <x v="5"/>
    <x v="5"/>
    <x v="5"/>
    <x v="5"/>
    <x v="5"/>
  </r>
  <r>
    <x v="6"/>
    <x v="6"/>
    <x v="6"/>
    <x v="6"/>
    <x v="6"/>
    <x v="6"/>
    <x v="6"/>
    <x v="6"/>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252500"/>
    <x v="0"/>
    <n v="15000"/>
    <x v="0"/>
    <n v="12000"/>
  </r>
  <r>
    <x v="1"/>
    <n v="201500"/>
    <x v="1"/>
    <n v="22000"/>
    <x v="1"/>
    <n v="11000"/>
  </r>
  <r>
    <x v="2"/>
    <m/>
    <x v="2"/>
    <n v="18000"/>
    <x v="2"/>
    <n v="10000"/>
  </r>
  <r>
    <x v="2"/>
    <m/>
    <x v="3"/>
    <n v="9500"/>
    <x v="3"/>
    <n v="9000"/>
  </r>
  <r>
    <x v="2"/>
    <m/>
    <x v="4"/>
    <n v="30500"/>
    <x v="4"/>
    <n v="8000"/>
  </r>
  <r>
    <x v="2"/>
    <m/>
    <x v="5"/>
    <n v="12000"/>
    <x v="5"/>
    <n v="7500"/>
  </r>
  <r>
    <x v="2"/>
    <m/>
    <x v="6"/>
    <n v="45000"/>
    <x v="6"/>
    <n v="7000"/>
  </r>
  <r>
    <x v="2"/>
    <m/>
    <x v="7"/>
    <n v="8700"/>
    <x v="7"/>
    <n v="6500"/>
  </r>
  <r>
    <x v="2"/>
    <m/>
    <x v="8"/>
    <n v="26000"/>
    <x v="8"/>
    <n v="6000"/>
  </r>
  <r>
    <x v="2"/>
    <m/>
    <x v="9"/>
    <n v="33000"/>
    <x v="9"/>
    <n v="5000"/>
  </r>
  <r>
    <x v="2"/>
    <m/>
    <x v="10"/>
    <n v="14000"/>
    <x v="10"/>
    <n v="5000"/>
  </r>
  <r>
    <x v="2"/>
    <m/>
    <x v="11"/>
    <n v="5000"/>
    <x v="11"/>
    <n v="4200"/>
  </r>
  <r>
    <x v="2"/>
    <m/>
    <x v="12"/>
    <n v="29000"/>
    <x v="12"/>
    <n v="4000"/>
  </r>
  <r>
    <x v="2"/>
    <m/>
    <x v="13"/>
    <n v="17500"/>
    <x v="13"/>
    <n v="3500"/>
  </r>
  <r>
    <x v="2"/>
    <m/>
    <x v="14"/>
    <n v="41000"/>
    <x v="14"/>
    <n v="3000"/>
  </r>
  <r>
    <x v="2"/>
    <m/>
    <x v="15"/>
    <n v="9800"/>
    <x v="15"/>
    <n v="2500"/>
  </r>
  <r>
    <x v="2"/>
    <m/>
    <x v="16"/>
    <n v="21500"/>
    <x v="16"/>
    <n v="2000"/>
  </r>
  <r>
    <x v="2"/>
    <m/>
    <x v="17"/>
    <n v="36000"/>
    <x v="17"/>
    <n v="1800"/>
  </r>
  <r>
    <x v="2"/>
    <m/>
    <x v="18"/>
    <n v="12500"/>
    <x v="18"/>
    <n v="1500"/>
  </r>
  <r>
    <x v="2"/>
    <m/>
    <x v="19"/>
    <n v="48000"/>
    <x v="19"/>
    <n v="1000"/>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n v="5000"/>
    <n v="2"/>
    <n v="10000"/>
    <x v="0"/>
    <d v="2025-01-10T00:00:00"/>
    <s v="Delivery"/>
  </r>
  <r>
    <x v="1"/>
    <x v="1"/>
    <n v="85000"/>
    <n v="1"/>
    <n v="85000"/>
    <x v="1"/>
    <d v="2025-01-11T00:00:00"/>
    <s v="Delivery"/>
  </r>
  <r>
    <x v="2"/>
    <x v="2"/>
    <n v="10000"/>
    <n v="2"/>
    <n v="20000"/>
    <x v="2"/>
    <d v="2025-01-12T00:00:00"/>
    <s v="pending"/>
  </r>
  <r>
    <x v="3"/>
    <x v="3"/>
    <n v="6000"/>
    <n v="2"/>
    <n v="12000"/>
    <x v="3"/>
    <d v="2025-01-13T00:00:00"/>
    <s v="Delivery"/>
  </r>
  <r>
    <x v="4"/>
    <x v="4"/>
    <n v="3000"/>
    <n v="2"/>
    <n v="6000"/>
    <x v="4"/>
    <d v="2025-01-13T00:00:00"/>
    <s v="pending"/>
  </r>
  <r>
    <x v="5"/>
    <x v="5"/>
    <n v="20000"/>
    <n v="1"/>
    <n v="20000"/>
    <x v="2"/>
    <d v="2025-01-14T00:00:00"/>
    <s v="Delivery"/>
  </r>
  <r>
    <x v="6"/>
    <x v="6"/>
    <n v="45000"/>
    <n v="1"/>
    <n v="45000"/>
    <x v="5"/>
    <d v="2025-01-15T00:00:00"/>
    <s v="pending"/>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2"/>
  </r>
  <r>
    <x v="3"/>
    <x v="2"/>
  </r>
  <r>
    <x v="4"/>
    <x v="3"/>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4"/>
  </r>
  <r>
    <x v="1"/>
    <n v="3"/>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n v="85000"/>
    <x v="0"/>
    <x v="0"/>
    <x v="0"/>
    <n v="85000"/>
  </r>
  <r>
    <x v="1"/>
    <x v="1"/>
    <x v="0"/>
    <n v="45000"/>
    <x v="1"/>
    <x v="0"/>
    <x v="1"/>
    <n v="90000"/>
  </r>
  <r>
    <x v="2"/>
    <x v="2"/>
    <x v="1"/>
    <n v="3500"/>
    <x v="2"/>
    <x v="1"/>
    <x v="2"/>
    <n v="10500"/>
  </r>
  <r>
    <x v="3"/>
    <x v="3"/>
    <x v="1"/>
    <n v="2500"/>
    <x v="0"/>
    <x v="2"/>
    <x v="3"/>
    <n v="2500"/>
  </r>
  <r>
    <x v="4"/>
    <x v="4"/>
    <x v="1"/>
    <n v="1200"/>
    <x v="1"/>
    <x v="3"/>
    <x v="4"/>
    <n v="2400"/>
  </r>
  <r>
    <x v="5"/>
    <x v="5"/>
    <x v="0"/>
    <n v="22000"/>
    <x v="0"/>
    <x v="4"/>
    <x v="5"/>
    <n v="22000"/>
  </r>
  <r>
    <x v="6"/>
    <x v="6"/>
    <x v="0"/>
    <n v="18000"/>
    <x v="0"/>
    <x v="5"/>
    <x v="6"/>
    <n v="18000"/>
  </r>
  <r>
    <x v="7"/>
    <x v="7"/>
    <x v="2"/>
    <n v="15000"/>
    <x v="1"/>
    <x v="6"/>
    <x v="7"/>
    <n v="30000"/>
  </r>
  <r>
    <x v="8"/>
    <x v="8"/>
    <x v="1"/>
    <n v="500"/>
    <x v="3"/>
    <x v="7"/>
    <x v="8"/>
    <n v="2500"/>
  </r>
  <r>
    <x v="9"/>
    <x v="9"/>
    <x v="0"/>
    <n v="3000"/>
    <x v="2"/>
    <x v="8"/>
    <x v="9"/>
    <n v="9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BC2D62-AFA0-43B6-A1A4-2BA0C300D9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7:P18" firstHeaderRow="0" firstDataRow="1" firstDataCol="1"/>
  <pivotFields count="8">
    <pivotField showAll="0"/>
    <pivotField showAll="0">
      <items count="11">
        <item x="0"/>
        <item x="6"/>
        <item x="8"/>
        <item x="3"/>
        <item x="9"/>
        <item x="4"/>
        <item x="2"/>
        <item x="1"/>
        <item x="5"/>
        <item x="7"/>
        <item t="default"/>
      </items>
    </pivotField>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dataField="1" numFmtId="164"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Sales Value2" fld="6" baseField="0" baseItem="0" numFmtId="164"/>
    <dataField name="Sum of Sales Value1" fld="5" baseField="0" baseItem="0" numFmtId="164"/>
  </dataFields>
  <chartFormats count="22">
    <chartFormat chart="5" format="0" series="1">
      <pivotArea type="data" outline="0" fieldPosition="0">
        <references count="1">
          <reference field="4294967294" count="1" selected="0">
            <x v="1"/>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1"/>
          </reference>
          <reference field="2" count="1" selected="0">
            <x v="0"/>
          </reference>
        </references>
      </pivotArea>
    </chartFormat>
    <chartFormat chart="5" format="3">
      <pivotArea type="data" outline="0" fieldPosition="0">
        <references count="2">
          <reference field="4294967294" count="1" selected="0">
            <x v="1"/>
          </reference>
          <reference field="2" count="1" selected="0">
            <x v="1"/>
          </reference>
        </references>
      </pivotArea>
    </chartFormat>
    <chartFormat chart="5" format="4">
      <pivotArea type="data" outline="0" fieldPosition="0">
        <references count="2">
          <reference field="4294967294" count="1" selected="0">
            <x v="1"/>
          </reference>
          <reference field="2" count="1" selected="0">
            <x v="2"/>
          </reference>
        </references>
      </pivotArea>
    </chartFormat>
    <chartFormat chart="5" format="5">
      <pivotArea type="data" outline="0" fieldPosition="0">
        <references count="2">
          <reference field="4294967294" count="1" selected="0">
            <x v="1"/>
          </reference>
          <reference field="2" count="1" selected="0">
            <x v="3"/>
          </reference>
        </references>
      </pivotArea>
    </chartFormat>
    <chartFormat chart="5" format="6">
      <pivotArea type="data" outline="0" fieldPosition="0">
        <references count="2">
          <reference field="4294967294" count="1" selected="0">
            <x v="1"/>
          </reference>
          <reference field="2" count="1" selected="0">
            <x v="4"/>
          </reference>
        </references>
      </pivotArea>
    </chartFormat>
    <chartFormat chart="5" format="7">
      <pivotArea type="data" outline="0" fieldPosition="0">
        <references count="2">
          <reference field="4294967294" count="1" selected="0">
            <x v="1"/>
          </reference>
          <reference field="2" count="1" selected="0">
            <x v="5"/>
          </reference>
        </references>
      </pivotArea>
    </chartFormat>
    <chartFormat chart="5" format="8">
      <pivotArea type="data" outline="0" fieldPosition="0">
        <references count="2">
          <reference field="4294967294" count="1" selected="0">
            <x v="1"/>
          </reference>
          <reference field="2" count="1" selected="0">
            <x v="6"/>
          </reference>
        </references>
      </pivotArea>
    </chartFormat>
    <chartFormat chart="5" format="9">
      <pivotArea type="data" outline="0" fieldPosition="0">
        <references count="2">
          <reference field="4294967294" count="1" selected="0">
            <x v="1"/>
          </reference>
          <reference field="2" count="1" selected="0">
            <x v="7"/>
          </reference>
        </references>
      </pivotArea>
    </chartFormat>
    <chartFormat chart="5" format="10">
      <pivotArea type="data" outline="0" fieldPosition="0">
        <references count="2">
          <reference field="4294967294" count="1" selected="0">
            <x v="1"/>
          </reference>
          <reference field="2" count="1" selected="0">
            <x v="8"/>
          </reference>
        </references>
      </pivotArea>
    </chartFormat>
    <chartFormat chart="5" format="11">
      <pivotArea type="data" outline="0" fieldPosition="0">
        <references count="2">
          <reference field="4294967294" count="1" selected="0">
            <x v="1"/>
          </reference>
          <reference field="2" count="1" selected="0">
            <x v="9"/>
          </reference>
        </references>
      </pivotArea>
    </chartFormat>
    <chartFormat chart="5" format="12">
      <pivotArea type="data" outline="0" fieldPosition="0">
        <references count="2">
          <reference field="4294967294" count="1" selected="0">
            <x v="0"/>
          </reference>
          <reference field="2" count="1" selected="0">
            <x v="0"/>
          </reference>
        </references>
      </pivotArea>
    </chartFormat>
    <chartFormat chart="5" format="13">
      <pivotArea type="data" outline="0" fieldPosition="0">
        <references count="2">
          <reference field="4294967294" count="1" selected="0">
            <x v="0"/>
          </reference>
          <reference field="2" count="1" selected="0">
            <x v="1"/>
          </reference>
        </references>
      </pivotArea>
    </chartFormat>
    <chartFormat chart="5" format="14">
      <pivotArea type="data" outline="0" fieldPosition="0">
        <references count="2">
          <reference field="4294967294" count="1" selected="0">
            <x v="0"/>
          </reference>
          <reference field="2" count="1" selected="0">
            <x v="2"/>
          </reference>
        </references>
      </pivotArea>
    </chartFormat>
    <chartFormat chart="5" format="15">
      <pivotArea type="data" outline="0" fieldPosition="0">
        <references count="2">
          <reference field="4294967294" count="1" selected="0">
            <x v="0"/>
          </reference>
          <reference field="2" count="1" selected="0">
            <x v="3"/>
          </reference>
        </references>
      </pivotArea>
    </chartFormat>
    <chartFormat chart="5" format="16">
      <pivotArea type="data" outline="0" fieldPosition="0">
        <references count="2">
          <reference field="4294967294" count="1" selected="0">
            <x v="0"/>
          </reference>
          <reference field="2" count="1" selected="0">
            <x v="4"/>
          </reference>
        </references>
      </pivotArea>
    </chartFormat>
    <chartFormat chart="5" format="17">
      <pivotArea type="data" outline="0" fieldPosition="0">
        <references count="2">
          <reference field="4294967294" count="1" selected="0">
            <x v="0"/>
          </reference>
          <reference field="2" count="1" selected="0">
            <x v="5"/>
          </reference>
        </references>
      </pivotArea>
    </chartFormat>
    <chartFormat chart="5" format="18">
      <pivotArea type="data" outline="0" fieldPosition="0">
        <references count="2">
          <reference field="4294967294" count="1" selected="0">
            <x v="0"/>
          </reference>
          <reference field="2" count="1" selected="0">
            <x v="6"/>
          </reference>
        </references>
      </pivotArea>
    </chartFormat>
    <chartFormat chart="5" format="19">
      <pivotArea type="data" outline="0" fieldPosition="0">
        <references count="2">
          <reference field="4294967294" count="1" selected="0">
            <x v="0"/>
          </reference>
          <reference field="2" count="1" selected="0">
            <x v="7"/>
          </reference>
        </references>
      </pivotArea>
    </chartFormat>
    <chartFormat chart="5" format="20">
      <pivotArea type="data" outline="0" fieldPosition="0">
        <references count="2">
          <reference field="4294967294" count="1" selected="0">
            <x v="0"/>
          </reference>
          <reference field="2" count="1" selected="0">
            <x v="8"/>
          </reference>
        </references>
      </pivotArea>
    </chartFormat>
    <chartFormat chart="5" format="21">
      <pivotArea type="data" outline="0" fieldPosition="0">
        <references count="2">
          <reference field="4294967294" count="1" selected="0">
            <x v="0"/>
          </reference>
          <reference field="2" count="1" selected="0">
            <x v="9"/>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0BDAD2-FEC9-413A-978B-D744E49204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L17" firstHeaderRow="1" firstDataRow="2" firstDataCol="1"/>
  <pivotFields count="8">
    <pivotField showAll="0"/>
    <pivotField axis="axisRow" showAll="0">
      <items count="11">
        <item x="0"/>
        <item x="6"/>
        <item x="8"/>
        <item x="3"/>
        <item x="9"/>
        <item x="4"/>
        <item x="2"/>
        <item x="1"/>
        <item x="5"/>
        <item x="7"/>
        <item t="default"/>
      </items>
    </pivotField>
    <pivotField axis="axisCol" showAll="0">
      <items count="11">
        <item x="0"/>
        <item x="1"/>
        <item x="2"/>
        <item x="3"/>
        <item x="4"/>
        <item x="5"/>
        <item x="6"/>
        <item x="7"/>
        <item x="8"/>
        <item x="9"/>
        <item t="default"/>
      </items>
    </pivotField>
    <pivotField showAll="0"/>
    <pivotField showAll="0"/>
    <pivotField dataField="1" numFmtId="164" showAll="0"/>
    <pivotField numFmtId="164" showAll="0"/>
    <pivotField showAll="0"/>
  </pivotFields>
  <rowFields count="1">
    <field x="1"/>
  </rowFields>
  <rowItems count="11">
    <i>
      <x/>
    </i>
    <i>
      <x v="1"/>
    </i>
    <i>
      <x v="2"/>
    </i>
    <i>
      <x v="3"/>
    </i>
    <i>
      <x v="4"/>
    </i>
    <i>
      <x v="5"/>
    </i>
    <i>
      <x v="6"/>
    </i>
    <i>
      <x v="7"/>
    </i>
    <i>
      <x v="8"/>
    </i>
    <i>
      <x v="9"/>
    </i>
    <i t="grand">
      <x/>
    </i>
  </rowItems>
  <colFields count="1">
    <field x="2"/>
  </colFields>
  <colItems count="11">
    <i>
      <x/>
    </i>
    <i>
      <x v="1"/>
    </i>
    <i>
      <x v="2"/>
    </i>
    <i>
      <x v="3"/>
    </i>
    <i>
      <x v="4"/>
    </i>
    <i>
      <x v="5"/>
    </i>
    <i>
      <x v="6"/>
    </i>
    <i>
      <x v="7"/>
    </i>
    <i>
      <x v="8"/>
    </i>
    <i>
      <x v="9"/>
    </i>
    <i t="grand">
      <x/>
    </i>
  </colItems>
  <dataFields count="1">
    <dataField name="Sum of Sales Value1" fld="5" baseField="0" baseItem="0" numFmtId="164"/>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9D401C-A31B-47E1-81BC-36702FBECC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R7:T15" firstHeaderRow="0" firstDataRow="1" firstDataCol="1"/>
  <pivotFields count="8">
    <pivotField showAll="0"/>
    <pivotField showAll="0">
      <items count="11">
        <item x="0"/>
        <item x="6"/>
        <item x="8"/>
        <item x="3"/>
        <item x="9"/>
        <item x="4"/>
        <item x="2"/>
        <item x="1"/>
        <item x="5"/>
        <item x="7"/>
        <item t="default"/>
      </items>
    </pivotField>
    <pivotField showAll="0">
      <items count="11">
        <item h="1" x="0"/>
        <item h="1" x="1"/>
        <item x="2"/>
        <item h="1" x="3"/>
        <item h="1" x="4"/>
        <item h="1" x="5"/>
        <item h="1" x="6"/>
        <item h="1" x="7"/>
        <item h="1" x="8"/>
        <item h="1" x="9"/>
        <item t="default"/>
      </items>
    </pivotField>
    <pivotField showAll="0"/>
    <pivotField axis="axisRow" showAll="0" sortType="descending">
      <items count="8">
        <item x="1"/>
        <item x="2"/>
        <item x="3"/>
        <item x="4"/>
        <item x="5"/>
        <item x="6"/>
        <item x="0"/>
        <item t="default"/>
      </items>
      <autoSortScope>
        <pivotArea dataOnly="0" outline="0" fieldPosition="0">
          <references count="1">
            <reference field="4294967294" count="1" selected="0">
              <x v="0"/>
            </reference>
          </references>
        </pivotArea>
      </autoSortScope>
    </pivotField>
    <pivotField dataField="1" numFmtId="164" showAll="0"/>
    <pivotField dataField="1" numFmtId="164" showAll="0"/>
    <pivotField showAll="0"/>
  </pivotFields>
  <rowFields count="1">
    <field x="4"/>
  </rowFields>
  <rowItems count="8">
    <i>
      <x v="2"/>
    </i>
    <i>
      <x v="6"/>
    </i>
    <i>
      <x v="3"/>
    </i>
    <i>
      <x/>
    </i>
    <i>
      <x v="4"/>
    </i>
    <i>
      <x v="1"/>
    </i>
    <i>
      <x v="5"/>
    </i>
    <i t="grand">
      <x/>
    </i>
  </rowItems>
  <colFields count="1">
    <field x="-2"/>
  </colFields>
  <colItems count="2">
    <i>
      <x/>
    </i>
    <i i="1">
      <x v="1"/>
    </i>
  </colItems>
  <dataFields count="2">
    <dataField name="Average of Sales Value2" fld="6" subtotal="average" baseField="4" baseItem="6" numFmtId="164"/>
    <dataField name="Average of Sales Value1" fld="5" subtotal="average" baseField="4" baseItem="2" numFmtId="164"/>
  </dataFields>
  <chartFormats count="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EFC349-B8C7-422D-9BBD-FE60013571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5:D46" firstHeaderRow="0" firstDataRow="1" firstDataCol="1"/>
  <pivotFields count="8">
    <pivotField showAll="0"/>
    <pivotField showAll="0">
      <items count="11">
        <item x="0"/>
        <item x="6"/>
        <item x="8"/>
        <item x="3"/>
        <item x="9"/>
        <item x="4"/>
        <item x="2"/>
        <item x="1"/>
        <item x="5"/>
        <item x="7"/>
        <item t="default"/>
      </items>
    </pivotField>
    <pivotField axis="axisRow" showAll="0">
      <items count="11">
        <item x="0"/>
        <item x="1"/>
        <item x="2"/>
        <item x="3"/>
        <item x="4"/>
        <item x="5"/>
        <item x="6"/>
        <item x="7"/>
        <item x="8"/>
        <item x="9"/>
        <item t="default"/>
      </items>
    </pivotField>
    <pivotField showAll="0"/>
    <pivotField showAll="0"/>
    <pivotField dataField="1" numFmtId="164" showAll="0"/>
    <pivotField dataField="1" numFmtId="164"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Sales Value1" fld="5" baseField="0" baseItem="0" numFmtId="164"/>
    <dataField name="Sum of Sales Value2"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6033FE-E27D-4DF4-87BB-71F1C0097B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1:F52" firstHeaderRow="1" firstDataRow="1" firstDataCol="1"/>
  <pivotFields count="8">
    <pivotField showAll="0"/>
    <pivotField axis="axisRow" showAll="0">
      <items count="11">
        <item x="0"/>
        <item x="6"/>
        <item x="8"/>
        <item x="3"/>
        <item x="9"/>
        <item x="4"/>
        <item x="2"/>
        <item x="1"/>
        <item x="5"/>
        <item x="7"/>
        <item t="default"/>
      </items>
    </pivotField>
    <pivotField showAll="0"/>
    <pivotField showAll="0"/>
    <pivotField showAll="0">
      <items count="8">
        <item x="1"/>
        <item x="2"/>
        <item x="3"/>
        <item x="4"/>
        <item x="5"/>
        <item x="6"/>
        <item x="0"/>
        <item t="default"/>
      </items>
    </pivotField>
    <pivotField numFmtId="164" showAll="0"/>
    <pivotField dataField="1" numFmtId="164" showAll="0"/>
    <pivotField axis="axisRow" showAll="0">
      <items count="4">
        <item x="0"/>
        <item x="2"/>
        <item x="1"/>
        <item t="default"/>
      </items>
    </pivotField>
  </pivotFields>
  <rowFields count="2">
    <field x="1"/>
    <field x="7"/>
  </rowFields>
  <rowItems count="21">
    <i>
      <x/>
    </i>
    <i r="1">
      <x/>
    </i>
    <i>
      <x v="1"/>
    </i>
    <i r="1">
      <x v="2"/>
    </i>
    <i>
      <x v="2"/>
    </i>
    <i r="1">
      <x v="1"/>
    </i>
    <i>
      <x v="3"/>
    </i>
    <i r="1">
      <x v="2"/>
    </i>
    <i>
      <x v="4"/>
    </i>
    <i r="1">
      <x v="1"/>
    </i>
    <i>
      <x v="5"/>
    </i>
    <i r="1">
      <x v="2"/>
    </i>
    <i>
      <x v="6"/>
    </i>
    <i r="1">
      <x v="2"/>
    </i>
    <i>
      <x v="7"/>
    </i>
    <i r="1">
      <x v="2"/>
    </i>
    <i>
      <x v="8"/>
    </i>
    <i r="1">
      <x v="2"/>
    </i>
    <i>
      <x v="9"/>
    </i>
    <i r="1">
      <x v="1"/>
    </i>
    <i t="grand">
      <x/>
    </i>
  </rowItems>
  <colItems count="1">
    <i/>
  </colItems>
  <dataFields count="1">
    <dataField name="Sum of Sales Value2"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751EF6-ED45-4C09-AD27-97CB43A56B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9:J40" firstHeaderRow="1" firstDataRow="1" firstDataCol="1"/>
  <pivotFields count="8">
    <pivotField showAll="0"/>
    <pivotField axis="axisRow" showAll="0">
      <items count="11">
        <item x="0"/>
        <item x="6"/>
        <item x="8"/>
        <item x="3"/>
        <item x="9"/>
        <item x="4"/>
        <item x="2"/>
        <item x="1"/>
        <item x="5"/>
        <item x="7"/>
        <item t="default"/>
      </items>
    </pivotField>
    <pivotField showAll="0"/>
    <pivotField showAll="0"/>
    <pivotField showAll="0"/>
    <pivotField numFmtId="164" showAll="0"/>
    <pivotField dataField="1" numFmtId="164" showAll="0"/>
    <pivotField showAll="0"/>
  </pivotFields>
  <rowFields count="1">
    <field x="1"/>
  </rowFields>
  <rowItems count="11">
    <i>
      <x/>
    </i>
    <i>
      <x v="1"/>
    </i>
    <i>
      <x v="2"/>
    </i>
    <i>
      <x v="3"/>
    </i>
    <i>
      <x v="4"/>
    </i>
    <i>
      <x v="5"/>
    </i>
    <i>
      <x v="6"/>
    </i>
    <i>
      <x v="7"/>
    </i>
    <i>
      <x v="8"/>
    </i>
    <i>
      <x v="9"/>
    </i>
    <i t="grand">
      <x/>
    </i>
  </rowItems>
  <colItems count="1">
    <i/>
  </colItems>
  <dataFields count="1">
    <dataField name="Sum of Sales Value2"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3343A3-8110-4CC2-B4B4-4F90293E6F7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5:J21" firstHeaderRow="1" firstDataRow="1" firstDataCol="1"/>
  <pivotFields count="9">
    <pivotField showAll="0" sortType="descending">
      <items count="19">
        <item h="1" x="17"/>
        <item h="1" x="12"/>
        <item h="1" x="10"/>
        <item x="16"/>
        <item x="15"/>
        <item h="1" x="7"/>
        <item h="1" x="2"/>
        <item h="1" x="13"/>
        <item h="1" x="1"/>
        <item h="1" x="14"/>
        <item h="1" x="3"/>
        <item x="8"/>
        <item x="0"/>
        <item h="1" x="6"/>
        <item h="1" x="11"/>
        <item h="1" x="9"/>
        <item h="1" x="4"/>
        <item x="5"/>
        <item t="default"/>
      </items>
      <autoSortScope>
        <pivotArea dataOnly="0" outline="0" fieldPosition="0">
          <references count="1">
            <reference field="4294967294" count="1" selected="0">
              <x v="0"/>
            </reference>
          </references>
        </pivotArea>
      </autoSortScope>
    </pivotField>
    <pivotField axis="axisRow" showAll="0">
      <items count="6">
        <item x="0"/>
        <item x="4"/>
        <item x="1"/>
        <item x="3"/>
        <item x="2"/>
        <item t="default"/>
      </items>
    </pivotField>
    <pivotField showAll="0">
      <items count="11">
        <item x="8"/>
        <item h="1" x="3"/>
        <item h="1" x="9"/>
        <item x="1"/>
        <item h="1" x="0"/>
        <item x="5"/>
        <item h="1" x="4"/>
        <item x="2"/>
        <item x="7"/>
        <item h="1" x="6"/>
        <item t="default"/>
      </items>
    </pivotField>
    <pivotField showAll="0"/>
    <pivotField dataField="1" showAll="0"/>
    <pivotField numFmtId="14" showAll="0">
      <items count="19">
        <item x="0"/>
        <item x="1"/>
        <item x="2"/>
        <item x="3"/>
        <item x="4"/>
        <item x="5"/>
        <item x="6"/>
        <item x="7"/>
        <item x="8"/>
        <item x="9"/>
        <item x="10"/>
        <item x="11"/>
        <item x="12"/>
        <item x="13"/>
        <item x="14"/>
        <item x="15"/>
        <item x="16"/>
        <item x="1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Sum of price" fld="4" baseField="0" baseItem="0"/>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5">
      <pivotArea type="data" outline="0" fieldPosition="0">
        <references count="2">
          <reference field="4294967294" count="1" selected="0">
            <x v="0"/>
          </reference>
          <reference field="1" count="1" selected="0">
            <x v="3"/>
          </reference>
        </references>
      </pivotArea>
    </chartFormat>
    <chartFormat chart="3" format="6">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B21128-A7FA-4D87-9DC2-E4F05BB9821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23:D29" firstHeaderRow="1" firstDataRow="1" firstDataCol="1"/>
  <pivotFields count="9">
    <pivotField axis="axisRow" showAll="0" sortType="descending">
      <items count="19">
        <item h="1" x="17"/>
        <item h="1" x="12"/>
        <item h="1" x="10"/>
        <item x="16"/>
        <item x="15"/>
        <item h="1" x="7"/>
        <item h="1" x="2"/>
        <item h="1" x="13"/>
        <item h="1" x="1"/>
        <item h="1" x="14"/>
        <item h="1" x="3"/>
        <item x="8"/>
        <item x="0"/>
        <item h="1" x="6"/>
        <item h="1" x="11"/>
        <item h="1" x="9"/>
        <item h="1" x="4"/>
        <item x="5"/>
        <item t="default"/>
      </items>
      <autoSortScope>
        <pivotArea dataOnly="0" outline="0" fieldPosition="0">
          <references count="1">
            <reference field="4294967294" count="1" selected="0">
              <x v="0"/>
            </reference>
          </references>
        </pivotArea>
      </autoSortScope>
    </pivotField>
    <pivotField showAll="0"/>
    <pivotField showAll="0">
      <items count="11">
        <item x="8"/>
        <item h="1" x="3"/>
        <item h="1" x="9"/>
        <item x="1"/>
        <item h="1" x="0"/>
        <item x="5"/>
        <item h="1" x="4"/>
        <item x="2"/>
        <item x="7"/>
        <item h="1" x="6"/>
        <item t="default"/>
      </items>
    </pivotField>
    <pivotField showAll="0"/>
    <pivotField dataField="1" showAll="0"/>
    <pivotField numFmtId="14" showAll="0">
      <items count="19">
        <item x="0"/>
        <item x="1"/>
        <item x="2"/>
        <item x="3"/>
        <item x="4"/>
        <item x="5"/>
        <item x="6"/>
        <item x="7"/>
        <item x="8"/>
        <item x="9"/>
        <item x="10"/>
        <item x="11"/>
        <item x="12"/>
        <item x="13"/>
        <item x="14"/>
        <item x="15"/>
        <item x="16"/>
        <item x="1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v="12"/>
    </i>
    <i>
      <x v="11"/>
    </i>
    <i>
      <x v="17"/>
    </i>
    <i>
      <x v="4"/>
    </i>
    <i>
      <x v="3"/>
    </i>
    <i t="grand">
      <x/>
    </i>
  </rowItems>
  <colItems count="1">
    <i/>
  </colItems>
  <dataFields count="1">
    <dataField name="Sum of price"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3AAE9E-EC05-4FC4-BE39-EAFEB9E3302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5:I31" firstHeaderRow="1" firstDataRow="1" firstDataCol="1"/>
  <pivotFields count="9">
    <pivotField showAll="0"/>
    <pivotField showAll="0"/>
    <pivotField axis="axisRow" showAll="0" sortType="descending">
      <items count="11">
        <item x="8"/>
        <item h="1" x="3"/>
        <item h="1" x="9"/>
        <item x="1"/>
        <item h="1" x="0"/>
        <item x="5"/>
        <item h="1" x="4"/>
        <item x="2"/>
        <item x="7"/>
        <item h="1" x="6"/>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9">
        <item x="0"/>
        <item x="1"/>
        <item x="2"/>
        <item x="3"/>
        <item x="4"/>
        <item x="5"/>
        <item x="6"/>
        <item x="7"/>
        <item x="8"/>
        <item x="9"/>
        <item x="10"/>
        <item x="11"/>
        <item x="12"/>
        <item x="13"/>
        <item x="14"/>
        <item x="15"/>
        <item x="16"/>
        <item x="17"/>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8"/>
    </i>
    <i>
      <x v="7"/>
    </i>
    <i>
      <x v="5"/>
    </i>
    <i>
      <x/>
    </i>
    <i>
      <x v="3"/>
    </i>
    <i t="grand">
      <x/>
    </i>
  </rowItems>
  <colItems count="1">
    <i/>
  </colItems>
  <dataFields count="1">
    <dataField name="Sum of quanatity" fld="6"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8"/>
          </reference>
        </references>
      </pivotArea>
    </chartFormat>
    <chartFormat chart="3" format="9">
      <pivotArea type="data" outline="0" fieldPosition="0">
        <references count="2">
          <reference field="4294967294" count="1" selected="0">
            <x v="0"/>
          </reference>
          <reference field="2" count="1" selected="0">
            <x v="7"/>
          </reference>
        </references>
      </pivotArea>
    </chartFormat>
    <chartFormat chart="3" format="10">
      <pivotArea type="data" outline="0" fieldPosition="0">
        <references count="2">
          <reference field="4294967294" count="1" selected="0">
            <x v="0"/>
          </reference>
          <reference field="2" count="1" selected="0">
            <x v="5"/>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B87613-B44D-4462-8755-CA4E79FE525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5:N20" firstHeaderRow="0" firstDataRow="1" firstDataCol="1"/>
  <pivotFields count="9">
    <pivotField showAll="0">
      <items count="19">
        <item x="17"/>
        <item x="12"/>
        <item x="10"/>
        <item x="16"/>
        <item x="15"/>
        <item x="7"/>
        <item x="2"/>
        <item x="13"/>
        <item x="1"/>
        <item x="14"/>
        <item x="3"/>
        <item x="8"/>
        <item x="0"/>
        <item x="6"/>
        <item x="11"/>
        <item x="9"/>
        <item x="4"/>
        <item x="5"/>
        <item t="default"/>
      </items>
    </pivotField>
    <pivotField showAll="0">
      <items count="6">
        <item x="0"/>
        <item x="4"/>
        <item x="1"/>
        <item x="3"/>
        <item x="2"/>
        <item t="default"/>
      </items>
    </pivotField>
    <pivotField showAll="0">
      <items count="11">
        <item x="8"/>
        <item x="3"/>
        <item x="9"/>
        <item x="1"/>
        <item x="0"/>
        <item x="5"/>
        <item x="4"/>
        <item x="2"/>
        <item x="7"/>
        <item x="6"/>
        <item t="default"/>
      </items>
    </pivotField>
    <pivotField showAll="0"/>
    <pivotField dataField="1" showAll="0"/>
    <pivotField axis="axisRow" numFmtId="14" showAll="0">
      <items count="19">
        <item x="0"/>
        <item x="1"/>
        <item x="2"/>
        <item x="3"/>
        <item x="4"/>
        <item x="5"/>
        <item x="6"/>
        <item x="7"/>
        <item x="8"/>
        <item x="9"/>
        <item x="10"/>
        <item x="11"/>
        <item x="12"/>
        <item x="13"/>
        <item x="14"/>
        <item x="15"/>
        <item x="16"/>
        <item x="17"/>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5"/>
  </rowFields>
  <rowItems count="5">
    <i>
      <x v="1"/>
    </i>
    <i>
      <x v="2"/>
    </i>
    <i>
      <x v="3"/>
    </i>
    <i>
      <x v="4"/>
    </i>
    <i t="grand">
      <x/>
    </i>
  </rowItems>
  <colFields count="1">
    <field x="-2"/>
  </colFields>
  <colItems count="2">
    <i>
      <x/>
    </i>
    <i i="1">
      <x v="1"/>
    </i>
  </colItems>
  <dataFields count="2">
    <dataField name="Sum of quanatity" fld="6" baseField="0" baseItem="0"/>
    <dataField name="Sum of price" fld="4"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D14EFC-CD47-4B7F-B21B-FC348175393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3:J28" firstHeaderRow="1" firstDataRow="1" firstDataCol="1"/>
  <pivotFields count="12">
    <pivotField showAll="0">
      <items count="17">
        <item x="8"/>
        <item x="2"/>
        <item x="15"/>
        <item x="5"/>
        <item x="10"/>
        <item x="9"/>
        <item x="11"/>
        <item x="3"/>
        <item x="7"/>
        <item x="1"/>
        <item x="6"/>
        <item x="12"/>
        <item x="0"/>
        <item x="14"/>
        <item x="4"/>
        <item x="13"/>
        <item t="default"/>
      </items>
    </pivotField>
    <pivotField showAll="0"/>
    <pivotField showAll="0"/>
    <pivotField showAll="0">
      <items count="5">
        <item x="2"/>
        <item x="0"/>
        <item x="1"/>
        <item x="3"/>
        <item t="default"/>
      </items>
    </pivotField>
    <pivotField showAll="0"/>
    <pivotField axis="axisRow" showAll="0">
      <items count="5">
        <item x="0"/>
        <item x="1"/>
        <item x="2"/>
        <item x="3"/>
        <item t="default"/>
      </items>
    </pivotField>
    <pivotField dataField="1"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avg_marks" fld="6"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89F562-AEAA-4DC6-B66B-FAD70219081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4:N9" firstHeaderRow="1" firstDataRow="1" firstDataCol="1"/>
  <pivotFields count="12">
    <pivotField showAll="0">
      <items count="17">
        <item x="8"/>
        <item x="2"/>
        <item x="15"/>
        <item x="5"/>
        <item x="10"/>
        <item x="9"/>
        <item x="11"/>
        <item x="3"/>
        <item x="7"/>
        <item x="1"/>
        <item x="6"/>
        <item x="12"/>
        <item x="0"/>
        <item x="14"/>
        <item x="4"/>
        <item x="13"/>
        <item t="default"/>
      </items>
    </pivotField>
    <pivotField showAll="0"/>
    <pivotField showAll="0"/>
    <pivotField axis="axisRow" showAll="0">
      <items count="5">
        <item x="2"/>
        <item x="0"/>
        <item x="1"/>
        <item x="3"/>
        <item t="default"/>
      </items>
    </pivotField>
    <pivotField dataField="1" showAll="0"/>
    <pivotField showAll="0">
      <items count="5">
        <item x="0"/>
        <item x="1"/>
        <item x="2"/>
        <item x="3"/>
        <item t="default"/>
      </items>
    </pivotField>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Top_students"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656612-0751-470A-9603-E603E959603E}"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2:N40" firstHeaderRow="0" firstDataRow="1" firstDataCol="1"/>
  <pivotFields count="12">
    <pivotField showAll="0">
      <items count="17">
        <item x="8"/>
        <item x="2"/>
        <item x="15"/>
        <item x="5"/>
        <item x="10"/>
        <item x="9"/>
        <item x="11"/>
        <item x="3"/>
        <item x="7"/>
        <item x="1"/>
        <item x="6"/>
        <item x="12"/>
        <item x="0"/>
        <item x="14"/>
        <item x="4"/>
        <item x="13"/>
        <item t="default"/>
      </items>
    </pivotField>
    <pivotField showAll="0"/>
    <pivotField showAll="0"/>
    <pivotField showAll="0">
      <items count="5">
        <item x="2"/>
        <item x="0"/>
        <item x="1"/>
        <item x="3"/>
        <item t="default"/>
      </items>
    </pivotField>
    <pivotField showAll="0"/>
    <pivotField showAll="0">
      <items count="5">
        <item x="0"/>
        <item x="1"/>
        <item x="2"/>
        <item x="3"/>
        <item t="default"/>
      </items>
    </pivotField>
    <pivotField showAll="0"/>
    <pivotField axis="axisRow" showAll="0">
      <items count="18">
        <item x="11"/>
        <item x="2"/>
        <item x="15"/>
        <item x="12"/>
        <item x="14"/>
        <item x="3"/>
        <item x="5"/>
        <item x="13"/>
        <item x="8"/>
        <item x="10"/>
        <item x="0"/>
        <item x="7"/>
        <item x="4"/>
        <item x="1"/>
        <item x="6"/>
        <item x="9"/>
        <item x="16"/>
        <item t="default"/>
      </items>
    </pivotField>
    <pivotField dataField="1" showAll="0"/>
    <pivotField dataField="1" showAll="0">
      <items count="16">
        <item x="0"/>
        <item x="1"/>
        <item x="2"/>
        <item x="3"/>
        <item x="4"/>
        <item x="5"/>
        <item x="6"/>
        <item x="7"/>
        <item x="8"/>
        <item x="9"/>
        <item x="10"/>
        <item x="11"/>
        <item x="12"/>
        <item x="13"/>
        <item x="14"/>
        <item t="default"/>
      </items>
    </pivotField>
    <pivotField showAll="0"/>
    <pivotField showAll="0"/>
  </pivotFields>
  <rowFields count="1">
    <field x="7"/>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otal_marks" fld="8" baseField="0" baseItem="0"/>
    <dataField name="Sum of student_rank" fld="9"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D8A207C-D08B-4482-B7F4-C581FBBDA37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2:O7" firstHeaderRow="1" firstDataRow="1" firstDataCol="1"/>
  <pivotFields count="9">
    <pivotField showAll="0">
      <items count="21">
        <item x="8"/>
        <item x="0"/>
        <item x="16"/>
        <item x="12"/>
        <item x="13"/>
        <item x="19"/>
        <item x="11"/>
        <item x="18"/>
        <item x="6"/>
        <item x="15"/>
        <item x="1"/>
        <item x="10"/>
        <item x="5"/>
        <item x="14"/>
        <item x="3"/>
        <item x="7"/>
        <item x="17"/>
        <item x="2"/>
        <item x="4"/>
        <item x="9"/>
        <item t="default"/>
      </items>
    </pivotField>
    <pivotField showAll="0">
      <items count="21">
        <item x="9"/>
        <item x="17"/>
        <item x="4"/>
        <item x="3"/>
        <item x="5"/>
        <item x="6"/>
        <item x="19"/>
        <item x="8"/>
        <item x="1"/>
        <item x="11"/>
        <item x="14"/>
        <item x="13"/>
        <item x="15"/>
        <item x="18"/>
        <item x="10"/>
        <item x="12"/>
        <item x="0"/>
        <item x="2"/>
        <item x="16"/>
        <item x="7"/>
        <item t="default"/>
      </items>
    </pivotField>
    <pivotField showAll="0"/>
    <pivotField showAll="0"/>
    <pivotField showAll="0">
      <items count="20">
        <item x="0"/>
        <item x="1"/>
        <item x="2"/>
        <item x="3"/>
        <item x="4"/>
        <item x="5"/>
        <item x="6"/>
        <item x="7"/>
        <item x="8"/>
        <item x="9"/>
        <item x="10"/>
        <item x="11"/>
        <item x="12"/>
        <item x="13"/>
        <item x="14"/>
        <item x="15"/>
        <item x="16"/>
        <item x="17"/>
        <item x="18"/>
        <item t="default"/>
      </items>
    </pivotField>
    <pivotField axis="axisRow" showAll="0">
      <items count="5">
        <item x="0"/>
        <item x="1"/>
        <item x="2"/>
        <item x="3"/>
        <item t="default"/>
      </items>
    </pivotField>
    <pivotField dataField="1" showAll="0">
      <items count="5">
        <item x="2"/>
        <item x="1"/>
        <item x="0"/>
        <item x="3"/>
        <item t="default"/>
      </items>
    </pivotField>
    <pivotField showAll="0"/>
    <pivotField showAll="0"/>
  </pivotFields>
  <rowFields count="1">
    <field x="5"/>
  </rowFields>
  <rowItems count="5">
    <i>
      <x/>
    </i>
    <i>
      <x v="1"/>
    </i>
    <i>
      <x v="2"/>
    </i>
    <i>
      <x v="3"/>
    </i>
    <i t="grand">
      <x/>
    </i>
  </rowItems>
  <colItems count="1">
    <i/>
  </colItems>
  <dataFields count="1">
    <dataField name="Sum of Top_student_score" fld="6"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6A03A96-F55A-4114-BE0C-5CF21DF3C2A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B30" firstHeaderRow="1" firstDataRow="1" firstDataCol="1"/>
  <pivotFields count="9">
    <pivotField showAll="0"/>
    <pivotField showAll="0">
      <items count="21">
        <item x="9"/>
        <item x="17"/>
        <item x="4"/>
        <item x="3"/>
        <item x="5"/>
        <item x="6"/>
        <item x="19"/>
        <item x="8"/>
        <item x="1"/>
        <item x="11"/>
        <item x="14"/>
        <item x="13"/>
        <item x="15"/>
        <item x="18"/>
        <item x="10"/>
        <item x="12"/>
        <item x="0"/>
        <item x="2"/>
        <item x="16"/>
        <item x="7"/>
        <item t="default"/>
      </items>
    </pivotField>
    <pivotField showAll="0"/>
    <pivotField showAll="0"/>
    <pivotField showAll="0">
      <items count="20">
        <item x="0"/>
        <item x="1"/>
        <item x="2"/>
        <item x="3"/>
        <item x="4"/>
        <item x="5"/>
        <item x="6"/>
        <item x="7"/>
        <item x="8"/>
        <item x="9"/>
        <item x="10"/>
        <item x="11"/>
        <item x="12"/>
        <item x="13"/>
        <item x="14"/>
        <item x="15"/>
        <item x="16"/>
        <item x="17"/>
        <item x="18"/>
        <item t="default"/>
      </items>
    </pivotField>
    <pivotField axis="axisRow" showAll="0">
      <items count="5">
        <item x="0"/>
        <item x="1"/>
        <item x="2"/>
        <item x="3"/>
        <item t="default"/>
      </items>
    </pivotField>
    <pivotField showAll="0">
      <items count="5">
        <item x="2"/>
        <item x="1"/>
        <item x="0"/>
        <item x="3"/>
        <item t="default"/>
      </items>
    </pivotField>
    <pivotField showAll="0"/>
    <pivotField dataField="1" showAll="0"/>
  </pivotFields>
  <rowFields count="1">
    <field x="5"/>
  </rowFields>
  <rowItems count="5">
    <i>
      <x/>
    </i>
    <i>
      <x v="1"/>
    </i>
    <i>
      <x v="2"/>
    </i>
    <i>
      <x v="3"/>
    </i>
    <i t="grand">
      <x/>
    </i>
  </rowItems>
  <colItems count="1">
    <i/>
  </colItems>
  <dataFields count="1">
    <dataField name="Sum of contribution_percentage" fld="8"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98C85D2-1F4B-45F3-A306-B5D4DA819B0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2:G43" firstHeaderRow="0" firstDataRow="1" firstDataCol="1"/>
  <pivotFields count="9">
    <pivotField axis="axisRow" showAll="0">
      <items count="21">
        <item x="8"/>
        <item x="0"/>
        <item x="16"/>
        <item x="12"/>
        <item x="13"/>
        <item x="19"/>
        <item x="11"/>
        <item x="18"/>
        <item x="6"/>
        <item x="15"/>
        <item x="1"/>
        <item x="10"/>
        <item x="5"/>
        <item x="14"/>
        <item x="3"/>
        <item x="7"/>
        <item x="17"/>
        <item x="2"/>
        <item x="4"/>
        <item x="9"/>
        <item t="default"/>
      </items>
    </pivotField>
    <pivotField showAll="0">
      <items count="21">
        <item x="9"/>
        <item x="17"/>
        <item x="4"/>
        <item x="3"/>
        <item x="5"/>
        <item x="6"/>
        <item x="19"/>
        <item x="8"/>
        <item x="1"/>
        <item x="11"/>
        <item x="14"/>
        <item x="13"/>
        <item x="15"/>
        <item x="18"/>
        <item x="10"/>
        <item x="12"/>
        <item x="0"/>
        <item x="2"/>
        <item x="16"/>
        <item x="7"/>
        <item t="default"/>
      </items>
    </pivotField>
    <pivotField dataField="1" showAll="0"/>
    <pivotField showAll="0"/>
    <pivotField dataField="1" showAll="0">
      <items count="20">
        <item x="0"/>
        <item x="1"/>
        <item x="2"/>
        <item x="3"/>
        <item x="4"/>
        <item x="5"/>
        <item x="6"/>
        <item x="7"/>
        <item x="8"/>
        <item x="9"/>
        <item x="10"/>
        <item x="11"/>
        <item x="12"/>
        <item x="13"/>
        <item x="14"/>
        <item x="15"/>
        <item x="16"/>
        <item x="17"/>
        <item x="18"/>
        <item t="default"/>
      </items>
    </pivotField>
    <pivotField showAll="0">
      <items count="5">
        <item x="0"/>
        <item x="1"/>
        <item x="2"/>
        <item x="3"/>
        <item t="default"/>
      </items>
    </pivotField>
    <pivotField showAll="0">
      <items count="5">
        <item x="2"/>
        <item x="1"/>
        <item x="0"/>
        <item x="3"/>
        <item t="default"/>
      </items>
    </pivotField>
    <pivotField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marks" fld="2" baseField="0" baseItem="0"/>
    <dataField name="Sum of rank" fld="4"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48077EA-6327-4BF6-8C6E-6DC52B82C84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7:L28" firstHeaderRow="1" firstDataRow="1" firstDataCol="1"/>
  <pivotFields count="9">
    <pivotField showAll="0"/>
    <pivotField axis="axisRow" showAll="0">
      <items count="21">
        <item x="9"/>
        <item x="17"/>
        <item x="4"/>
        <item x="3"/>
        <item x="5"/>
        <item x="6"/>
        <item x="19"/>
        <item x="8"/>
        <item x="1"/>
        <item x="11"/>
        <item x="14"/>
        <item x="13"/>
        <item x="15"/>
        <item x="18"/>
        <item x="10"/>
        <item x="12"/>
        <item x="0"/>
        <item x="2"/>
        <item x="16"/>
        <item x="7"/>
        <item t="default"/>
      </items>
    </pivotField>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items count="5">
        <item x="0"/>
        <item x="1"/>
        <item x="2"/>
        <item x="3"/>
        <item t="default"/>
      </items>
    </pivotField>
    <pivotField showAll="0">
      <items count="5">
        <item x="2"/>
        <item x="1"/>
        <item x="0"/>
        <item x="3"/>
        <item t="default"/>
      </items>
    </pivotField>
    <pivotField dataField="1"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vg_marks" fld="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C8CFD51-AC18-4D3F-B8F6-6A6ACB5902B6}"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7:Y20" firstHeaderRow="1" firstDataRow="1" firstDataCol="1"/>
  <pivotFields count="16">
    <pivotField dataField="1" showAll="0">
      <items count="41">
        <item x="9"/>
        <item h="1" x="22"/>
        <item h="1" x="17"/>
        <item h="1" x="35"/>
        <item h="1" x="25"/>
        <item h="1" x="23"/>
        <item h="1" x="10"/>
        <item h="1" x="4"/>
        <item h="1" x="11"/>
        <item x="19"/>
        <item h="1" x="34"/>
        <item h="1" x="37"/>
        <item h="1" x="21"/>
        <item h="1" x="1"/>
        <item h="1" x="16"/>
        <item h="1" x="30"/>
        <item x="39"/>
        <item h="1" x="28"/>
        <item h="1" x="15"/>
        <item h="1" x="6"/>
        <item h="1" x="32"/>
        <item h="1" x="3"/>
        <item h="1" x="36"/>
        <item x="29"/>
        <item h="1" x="14"/>
        <item h="1" x="26"/>
        <item h="1" x="5"/>
        <item h="1" x="0"/>
        <item x="33"/>
        <item h="1" x="24"/>
        <item h="1" x="18"/>
        <item h="1" x="31"/>
        <item h="1" x="12"/>
        <item h="1" x="7"/>
        <item h="1" x="2"/>
        <item h="1" x="13"/>
        <item h="1" x="38"/>
        <item h="1" x="20"/>
        <item h="1" x="8"/>
        <item h="1" x="27"/>
        <item t="default"/>
      </items>
    </pivotField>
    <pivotField showAll="0"/>
    <pivotField showAll="0"/>
    <pivotField showAll="0"/>
    <pivotField showAll="0"/>
    <pivotField showAll="0"/>
    <pivotField numFmtId="14" showAll="0"/>
    <pivotField axis="axisRow" showAll="0">
      <items count="3">
        <item x="0"/>
        <item x="1"/>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items count="6">
        <item x="0"/>
        <item x="2"/>
        <item x="1"/>
        <item x="4"/>
        <item x="3"/>
        <item t="default"/>
      </items>
    </pivotField>
    <pivotField showAll="0"/>
  </pivotFields>
  <rowFields count="1">
    <field x="7"/>
  </rowFields>
  <rowItems count="3">
    <i>
      <x/>
    </i>
    <i>
      <x v="1"/>
    </i>
    <i t="grand">
      <x/>
    </i>
  </rowItems>
  <colItems count="1">
    <i/>
  </colItems>
  <dataFields count="1">
    <dataField name="Count of customer_name" fld="0" subtotal="count" baseField="0" baseItem="0"/>
  </dataFields>
  <formats count="2">
    <format dxfId="17">
      <pivotArea type="all" dataOnly="0" outline="0"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65F976C-C2E0-4B41-B1F6-271FB4B57459}"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U16:V37" firstHeaderRow="1" firstDataRow="1" firstDataCol="1"/>
  <pivotFields count="16">
    <pivotField showAll="0">
      <items count="41">
        <item x="9"/>
        <item h="1" x="22"/>
        <item h="1" x="17"/>
        <item h="1" x="35"/>
        <item h="1" x="25"/>
        <item h="1" x="23"/>
        <item h="1" x="10"/>
        <item h="1" x="4"/>
        <item h="1" x="11"/>
        <item x="19"/>
        <item h="1" x="34"/>
        <item h="1" x="37"/>
        <item h="1" x="21"/>
        <item h="1" x="1"/>
        <item h="1" x="16"/>
        <item h="1" x="30"/>
        <item x="39"/>
        <item h="1" x="28"/>
        <item h="1" x="15"/>
        <item h="1" x="6"/>
        <item h="1" x="32"/>
        <item h="1" x="3"/>
        <item h="1" x="36"/>
        <item x="29"/>
        <item h="1" x="14"/>
        <item h="1" x="26"/>
        <item h="1" x="5"/>
        <item h="1" x="0"/>
        <item x="33"/>
        <item h="1" x="24"/>
        <item h="1" x="18"/>
        <item h="1" x="31"/>
        <item h="1" x="12"/>
        <item h="1" x="7"/>
        <item h="1" x="2"/>
        <item h="1" x="13"/>
        <item h="1" x="38"/>
        <item h="1" x="20"/>
        <item h="1" x="8"/>
        <item h="1" x="27"/>
        <item t="default"/>
      </items>
    </pivotField>
    <pivotField showAll="0"/>
    <pivotField showAll="0"/>
    <pivotField showAll="0"/>
    <pivotField showAll="0"/>
    <pivotField showAll="0"/>
    <pivotField numFmtId="14" showAll="0"/>
    <pivotField showAll="0"/>
    <pivotField axis="axisRow" numFmtId="14" showAll="0">
      <items count="21">
        <item x="0"/>
        <item x="1"/>
        <item x="2"/>
        <item x="3"/>
        <item x="4"/>
        <item x="5"/>
        <item x="6"/>
        <item x="7"/>
        <item x="8"/>
        <item x="9"/>
        <item x="10"/>
        <item x="11"/>
        <item x="12"/>
        <item x="13"/>
        <item x="14"/>
        <item x="15"/>
        <item x="16"/>
        <item x="17"/>
        <item x="18"/>
        <item x="19"/>
        <item t="default"/>
      </items>
    </pivotField>
    <pivotField dataField="1" showAll="0"/>
    <pivotField showAll="0"/>
    <pivotField showAll="0"/>
    <pivotField showAll="0"/>
    <pivotField showAll="0"/>
    <pivotField showAll="0">
      <items count="6">
        <item x="0"/>
        <item x="2"/>
        <item x="1"/>
        <item x="4"/>
        <item x="3"/>
        <item t="default"/>
      </items>
    </pivotField>
    <pivotField showAll="0"/>
  </pivotFields>
  <rowFields count="1">
    <field x="8"/>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mount" fld="9" baseField="0" baseItem="0"/>
  </dataFields>
  <formats count="2">
    <format dxfId="19">
      <pivotArea type="all" dataOnly="0" outline="0" fieldPosition="0"/>
    </format>
    <format dxfId="1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E95790C-C6B0-419E-9DAA-D30B3DB5B4CF}"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R16:S20" firstHeaderRow="1" firstDataRow="1" firstDataCol="1"/>
  <pivotFields count="16">
    <pivotField axis="axisRow" showAll="0" sortType="ascending">
      <items count="41">
        <item h="1" x="9"/>
        <item h="1" x="22"/>
        <item h="1" x="17"/>
        <item h="1" x="35"/>
        <item h="1" x="25"/>
        <item h="1" x="23"/>
        <item h="1" x="10"/>
        <item h="1" x="4"/>
        <item x="11"/>
        <item h="1" x="19"/>
        <item h="1" x="34"/>
        <item h="1" x="37"/>
        <item h="1" x="21"/>
        <item h="1" x="1"/>
        <item h="1" x="16"/>
        <item h="1" x="30"/>
        <item h="1" x="39"/>
        <item h="1" x="28"/>
        <item h="1" x="15"/>
        <item h="1" x="6"/>
        <item h="1" x="32"/>
        <item h="1" x="3"/>
        <item h="1" x="36"/>
        <item h="1" x="29"/>
        <item h="1" x="14"/>
        <item h="1" x="26"/>
        <item x="5"/>
        <item h="1" x="0"/>
        <item h="1" x="33"/>
        <item h="1" x="24"/>
        <item h="1" x="18"/>
        <item h="1" x="31"/>
        <item h="1" x="12"/>
        <item h="1" x="7"/>
        <item h="1" x="2"/>
        <item h="1" x="13"/>
        <item h="1" x="38"/>
        <item x="20"/>
        <item h="1" x="8"/>
        <item h="1" x="2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39">
        <item x="5"/>
        <item x="20"/>
        <item x="11"/>
        <item x="30"/>
        <item x="14"/>
        <item x="2"/>
        <item x="27"/>
        <item x="34"/>
        <item x="0"/>
        <item x="16"/>
        <item x="6"/>
        <item x="25"/>
        <item x="22"/>
        <item x="32"/>
        <item x="8"/>
        <item x="3"/>
        <item x="18"/>
        <item x="28"/>
        <item x="10"/>
        <item x="23"/>
        <item x="35"/>
        <item x="12"/>
        <item x="1"/>
        <item x="26"/>
        <item x="17"/>
        <item x="7"/>
        <item x="31"/>
        <item x="13"/>
        <item x="21"/>
        <item x="4"/>
        <item x="36"/>
        <item x="24"/>
        <item x="15"/>
        <item x="9"/>
        <item x="29"/>
        <item x="33"/>
        <item x="19"/>
        <item x="37"/>
        <item t="default"/>
      </items>
    </pivotField>
    <pivotField numFmtId="14" showAll="0"/>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items count="33">
        <item x="3"/>
        <item x="13"/>
        <item x="22"/>
        <item x="8"/>
        <item x="17"/>
        <item x="1"/>
        <item x="11"/>
        <item x="20"/>
        <item x="6"/>
        <item x="15"/>
        <item x="24"/>
        <item x="2"/>
        <item x="30"/>
        <item x="12"/>
        <item x="7"/>
        <item x="16"/>
        <item x="21"/>
        <item x="4"/>
        <item x="25"/>
        <item x="28"/>
        <item x="9"/>
        <item x="0"/>
        <item x="18"/>
        <item x="5"/>
        <item x="26"/>
        <item x="10"/>
        <item x="31"/>
        <item x="14"/>
        <item x="19"/>
        <item x="23"/>
        <item x="27"/>
        <item x="29"/>
        <item t="default"/>
      </items>
    </pivotField>
    <pivotField showAll="0"/>
    <pivotField showAll="0"/>
    <pivotField showAll="0">
      <items count="6">
        <item x="0"/>
        <item x="2"/>
        <item x="1"/>
        <item x="4"/>
        <item x="3"/>
        <item t="default"/>
      </items>
    </pivotField>
    <pivotField showAll="0"/>
  </pivotFields>
  <rowFields count="1">
    <field x="0"/>
  </rowFields>
  <rowItems count="4">
    <i>
      <x v="26"/>
    </i>
    <i>
      <x v="37"/>
    </i>
    <i>
      <x v="8"/>
    </i>
    <i t="grand">
      <x/>
    </i>
  </rowItems>
  <colItems count="1">
    <i/>
  </colItems>
  <dataFields count="1">
    <dataField name="Min of balance" fld="5" subtotal="min" baseField="0" baseItem="0"/>
  </dataFields>
  <formats count="2">
    <format dxfId="21">
      <pivotArea type="all" dataOnly="0" outline="0" fieldPosition="0"/>
    </format>
    <format dxfId="2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67AE9F3-CDB1-405A-B985-B343E5505E70}"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7:V13" firstHeaderRow="1" firstDataRow="1" firstDataCol="1"/>
  <pivotFields count="16">
    <pivotField showAll="0">
      <items count="41">
        <item x="9"/>
        <item h="1" x="22"/>
        <item h="1" x="17"/>
        <item h="1" x="35"/>
        <item h="1" x="25"/>
        <item h="1" x="23"/>
        <item h="1" x="10"/>
        <item h="1" x="4"/>
        <item h="1" x="11"/>
        <item x="19"/>
        <item h="1" x="34"/>
        <item h="1" x="37"/>
        <item h="1" x="21"/>
        <item h="1" x="1"/>
        <item h="1" x="16"/>
        <item h="1" x="30"/>
        <item x="39"/>
        <item h="1" x="28"/>
        <item h="1" x="15"/>
        <item h="1" x="6"/>
        <item h="1" x="32"/>
        <item h="1" x="3"/>
        <item h="1" x="36"/>
        <item x="29"/>
        <item h="1" x="14"/>
        <item h="1" x="26"/>
        <item h="1" x="5"/>
        <item h="1" x="0"/>
        <item x="33"/>
        <item h="1" x="24"/>
        <item h="1" x="18"/>
        <item h="1" x="31"/>
        <item h="1" x="12"/>
        <item h="1" x="7"/>
        <item h="1" x="2"/>
        <item h="1" x="13"/>
        <item h="1" x="38"/>
        <item h="1" x="20"/>
        <item h="1" x="8"/>
        <item h="1" x="27"/>
        <item t="default"/>
      </items>
    </pivotField>
    <pivotField showAll="0"/>
    <pivotField showAll="0"/>
    <pivotField showAll="0"/>
    <pivotField showAll="0"/>
    <pivotField dataField="1" showAll="0"/>
    <pivotField numFmtId="14" showAll="0"/>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axis="axisRow" showAll="0">
      <items count="6">
        <item x="0"/>
        <item x="2"/>
        <item x="1"/>
        <item x="4"/>
        <item x="3"/>
        <item t="default"/>
      </items>
    </pivotField>
    <pivotField showAll="0"/>
  </pivotFields>
  <rowFields count="1">
    <field x="14"/>
  </rowFields>
  <rowItems count="6">
    <i>
      <x/>
    </i>
    <i>
      <x v="1"/>
    </i>
    <i>
      <x v="2"/>
    </i>
    <i>
      <x v="3"/>
    </i>
    <i>
      <x v="4"/>
    </i>
    <i t="grand">
      <x/>
    </i>
  </rowItems>
  <colItems count="1">
    <i/>
  </colItems>
  <dataFields count="1">
    <dataField name="Sum of balance" fld="5" baseField="0" baseItem="0"/>
  </dataFields>
  <formats count="2">
    <format dxfId="23">
      <pivotArea type="all" dataOnly="0" outline="0" fieldPosition="0"/>
    </format>
    <format dxfId="22">
      <pivotArea outline="0" collapsedLevelsAreSubtotals="1"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4" count="1" selected="0">
            <x v="0"/>
          </reference>
        </references>
      </pivotArea>
    </chartFormat>
    <chartFormat chart="3" format="9">
      <pivotArea type="data" outline="0" fieldPosition="0">
        <references count="2">
          <reference field="4294967294" count="1" selected="0">
            <x v="0"/>
          </reference>
          <reference field="14" count="1" selected="0">
            <x v="1"/>
          </reference>
        </references>
      </pivotArea>
    </chartFormat>
    <chartFormat chart="3" format="10">
      <pivotArea type="data" outline="0" fieldPosition="0">
        <references count="2">
          <reference field="4294967294" count="1" selected="0">
            <x v="0"/>
          </reference>
          <reference field="14" count="1" selected="0">
            <x v="2"/>
          </reference>
        </references>
      </pivotArea>
    </chartFormat>
    <chartFormat chart="3" format="11">
      <pivotArea type="data" outline="0" fieldPosition="0">
        <references count="2">
          <reference field="4294967294" count="1" selected="0">
            <x v="0"/>
          </reference>
          <reference field="14" count="1" selected="0">
            <x v="3"/>
          </reference>
        </references>
      </pivotArea>
    </chartFormat>
    <chartFormat chart="3" format="12">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FD76F4F-0D8E-4EB1-8E1D-47BB79DD9B19}"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7:S13" firstHeaderRow="1" firstDataRow="1" firstDataCol="1"/>
  <pivotFields count="16">
    <pivotField axis="axisRow" showAll="0" sortType="descending">
      <items count="41">
        <item x="9"/>
        <item h="1" x="22"/>
        <item h="1" x="17"/>
        <item h="1" x="35"/>
        <item h="1" x="25"/>
        <item h="1" x="23"/>
        <item h="1" x="10"/>
        <item h="1" x="4"/>
        <item h="1" x="11"/>
        <item x="19"/>
        <item h="1" x="34"/>
        <item h="1" x="37"/>
        <item h="1" x="21"/>
        <item h="1" x="1"/>
        <item h="1" x="16"/>
        <item h="1" x="30"/>
        <item x="39"/>
        <item h="1" x="28"/>
        <item h="1" x="15"/>
        <item h="1" x="6"/>
        <item h="1" x="32"/>
        <item h="1" x="3"/>
        <item h="1" x="36"/>
        <item x="29"/>
        <item h="1" x="14"/>
        <item h="1" x="26"/>
        <item h="1" x="5"/>
        <item h="1" x="0"/>
        <item x="33"/>
        <item h="1" x="24"/>
        <item h="1" x="18"/>
        <item h="1" x="31"/>
        <item h="1" x="12"/>
        <item h="1" x="7"/>
        <item h="1" x="2"/>
        <item h="1" x="13"/>
        <item h="1" x="38"/>
        <item h="1" x="20"/>
        <item h="1" x="8"/>
        <item h="1" x="2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4" showAll="0"/>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items count="6">
        <item x="0"/>
        <item x="2"/>
        <item x="1"/>
        <item x="4"/>
        <item x="3"/>
        <item t="default"/>
      </items>
    </pivotField>
    <pivotField showAll="0"/>
  </pivotFields>
  <rowFields count="1">
    <field x="0"/>
  </rowFields>
  <rowItems count="6">
    <i>
      <x v="16"/>
    </i>
    <i>
      <x v="9"/>
    </i>
    <i>
      <x v="28"/>
    </i>
    <i>
      <x v="23"/>
    </i>
    <i>
      <x/>
    </i>
    <i t="grand">
      <x/>
    </i>
  </rowItems>
  <colItems count="1">
    <i/>
  </colItems>
  <dataFields count="1">
    <dataField name="Sum of balance" fld="5" baseField="0" baseItem="0"/>
  </dataFields>
  <formats count="2">
    <format dxfId="25">
      <pivotArea type="all" dataOnly="0" outline="0" fieldPosition="0"/>
    </format>
    <format dxfId="2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3A5B64E-4FB1-4D87-961A-A4B6E7F2643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S4" firstHeaderRow="0" firstDataRow="1" firstDataCol="0"/>
  <pivotFields count="16">
    <pivotField dataField="1" showAll="0"/>
    <pivotField showAll="0"/>
    <pivotField showAll="0"/>
    <pivotField showAll="0"/>
    <pivotField showAll="0"/>
    <pivotField dataField="1" showAll="0"/>
    <pivotField numFmtId="14" showAll="0"/>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items count="6">
        <item x="0"/>
        <item x="2"/>
        <item x="1"/>
        <item x="4"/>
        <item x="3"/>
        <item t="default"/>
      </items>
    </pivotField>
    <pivotField showAll="0"/>
  </pivotFields>
  <rowItems count="1">
    <i/>
  </rowItems>
  <colFields count="1">
    <field x="-2"/>
  </colFields>
  <colItems count="2">
    <i>
      <x/>
    </i>
    <i i="1">
      <x v="1"/>
    </i>
  </colItems>
  <dataFields count="2">
    <dataField name="Count of customer_name" fld="0" subtotal="count" baseField="0" baseItem="0"/>
    <dataField name="Sum of balance" fld="5" baseField="0" baseItem="0"/>
  </dataFields>
  <formats count="3">
    <format dxfId="28">
      <pivotArea type="all" dataOnly="0" outline="0" fieldPosition="0"/>
    </format>
    <format dxfId="27">
      <pivotArea outline="0" collapsedLevelsAreSubtotals="1" fieldPosition="0"/>
    </format>
    <format dxfId="2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9192FCF-FBDD-4CF1-AFFA-F954F5988A78}"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M5" firstHeaderRow="0" firstDataRow="1" firstDataCol="0"/>
  <pivotFields count="10">
    <pivotField showAll="0">
      <items count="51">
        <item h="1" x="39"/>
        <item h="1" x="19"/>
        <item h="1" x="14"/>
        <item h="1" x="34"/>
        <item h="1" x="5"/>
        <item h="1" x="32"/>
        <item h="1" x="41"/>
        <item h="1" x="6"/>
        <item h="1" x="25"/>
        <item h="1" x="2"/>
        <item h="1" x="26"/>
        <item x="10"/>
        <item h="1" x="33"/>
        <item h="1" x="16"/>
        <item x="36"/>
        <item h="1" x="1"/>
        <item h="1" x="43"/>
        <item h="1" x="47"/>
        <item h="1" x="23"/>
        <item h="1" x="15"/>
        <item x="40"/>
        <item h="1" x="28"/>
        <item h="1" x="11"/>
        <item h="1" x="18"/>
        <item h="1" x="31"/>
        <item h="1" x="7"/>
        <item h="1" x="49"/>
        <item h="1" x="4"/>
        <item h="1" x="44"/>
        <item h="1" x="21"/>
        <item x="27"/>
        <item h="1" x="3"/>
        <item h="1" x="0"/>
        <item h="1" x="22"/>
        <item h="1" x="42"/>
        <item h="1" x="48"/>
        <item h="1" x="17"/>
        <item h="1" x="38"/>
        <item h="1" x="8"/>
        <item x="20"/>
        <item h="1" x="12"/>
        <item h="1" x="46"/>
        <item h="1" x="37"/>
        <item h="1" x="24"/>
        <item h="1" x="45"/>
        <item h="1" x="29"/>
        <item h="1" x="35"/>
        <item h="1" x="9"/>
        <item h="1" x="30"/>
        <item h="1" x="13"/>
        <item t="default"/>
      </items>
    </pivotField>
    <pivotField showAll="0"/>
    <pivotField showAll="0">
      <items count="3">
        <item x="1"/>
        <item x="0"/>
        <item t="default"/>
      </items>
    </pivotField>
    <pivotField showAll="0"/>
    <pivotField showAll="0"/>
    <pivotField showAll="0">
      <items count="5">
        <item x="2"/>
        <item x="0"/>
        <item x="1"/>
        <item x="3"/>
        <item t="default"/>
      </items>
    </pivotField>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showAll="0"/>
    <pivotField showAll="0"/>
    <pivotField dataField="1" showAll="0"/>
  </pivotFields>
  <rowItems count="1">
    <i/>
  </rowItems>
  <colFields count="1">
    <field x="-2"/>
  </colFields>
  <colItems count="2">
    <i>
      <x/>
    </i>
    <i i="1">
      <x v="1"/>
    </i>
  </colItems>
  <dataFields count="2">
    <dataField name="Sum of profit" fld="9" baseField="0" baseItem="0"/>
    <dataField name="Sum of quantity" fld="7" baseField="0" baseItem="0"/>
  </dataFields>
  <formats count="3">
    <format dxfId="7">
      <pivotArea type="all" dataOnly="0" outline="0" fieldPosition="0"/>
    </format>
    <format dxfId="6">
      <pivotArea outline="0" collapsedLevelsAreSubtotals="1" fieldPosition="0"/>
    </format>
    <format dxfId="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D52F763-6EC8-407C-BC65-BCF6285BEC0C}"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19:P45" firstHeaderRow="1" firstDataRow="1" firstDataCol="1"/>
  <pivotFields count="10">
    <pivotField showAll="0">
      <items count="51">
        <item h="1" x="39"/>
        <item h="1" x="19"/>
        <item h="1" x="14"/>
        <item h="1" x="34"/>
        <item h="1" x="5"/>
        <item h="1" x="32"/>
        <item h="1" x="41"/>
        <item h="1" x="6"/>
        <item h="1" x="25"/>
        <item h="1" x="2"/>
        <item h="1" x="26"/>
        <item x="10"/>
        <item h="1" x="33"/>
        <item h="1" x="16"/>
        <item x="36"/>
        <item h="1" x="1"/>
        <item h="1" x="43"/>
        <item h="1" x="47"/>
        <item h="1" x="23"/>
        <item h="1" x="15"/>
        <item x="40"/>
        <item h="1" x="28"/>
        <item h="1" x="11"/>
        <item h="1" x="18"/>
        <item h="1" x="31"/>
        <item h="1" x="7"/>
        <item h="1" x="49"/>
        <item h="1" x="4"/>
        <item h="1" x="44"/>
        <item h="1" x="21"/>
        <item x="27"/>
        <item h="1" x="3"/>
        <item h="1" x="0"/>
        <item h="1" x="22"/>
        <item h="1" x="42"/>
        <item h="1" x="48"/>
        <item h="1" x="17"/>
        <item h="1" x="38"/>
        <item h="1" x="8"/>
        <item x="20"/>
        <item h="1" x="12"/>
        <item h="1" x="46"/>
        <item h="1" x="37"/>
        <item h="1" x="24"/>
        <item h="1" x="45"/>
        <item h="1" x="29"/>
        <item h="1" x="35"/>
        <item h="1" x="9"/>
        <item h="1" x="30"/>
        <item h="1" x="13"/>
        <item t="default"/>
      </items>
    </pivotField>
    <pivotField showAll="0"/>
    <pivotField showAll="0">
      <items count="3">
        <item x="1"/>
        <item x="0"/>
        <item t="default"/>
      </items>
    </pivotField>
    <pivotField showAll="0"/>
    <pivotField showAll="0"/>
    <pivotField showAll="0">
      <items count="5">
        <item x="2"/>
        <item x="0"/>
        <item x="1"/>
        <item x="3"/>
        <item t="default"/>
      </items>
    </pivotField>
    <pivotField axis="axisRow"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dataField="1" showAll="0"/>
    <pivotField showAll="0"/>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otal_sales" fld="8" baseField="0" baseItem="0"/>
  </dataFields>
  <formats count="2">
    <format dxfId="9">
      <pivotArea type="all" dataOnly="0" outline="0" fieldPosition="0"/>
    </format>
    <format dxfId="8">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2B3F105-E6D6-471F-B12F-F8719A8BDE50}"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10:P15" firstHeaderRow="1" firstDataRow="1" firstDataCol="1"/>
  <pivotFields count="10">
    <pivotField showAll="0">
      <items count="51">
        <item h="1" x="39"/>
        <item h="1" x="19"/>
        <item h="1" x="14"/>
        <item h="1" x="34"/>
        <item h="1" x="5"/>
        <item h="1" x="32"/>
        <item h="1" x="41"/>
        <item h="1" x="6"/>
        <item h="1" x="25"/>
        <item h="1" x="2"/>
        <item h="1" x="26"/>
        <item x="10"/>
        <item h="1" x="33"/>
        <item h="1" x="16"/>
        <item x="36"/>
        <item h="1" x="1"/>
        <item h="1" x="43"/>
        <item h="1" x="47"/>
        <item h="1" x="23"/>
        <item h="1" x="15"/>
        <item x="40"/>
        <item h="1" x="28"/>
        <item h="1" x="11"/>
        <item h="1" x="18"/>
        <item h="1" x="31"/>
        <item h="1" x="7"/>
        <item h="1" x="49"/>
        <item h="1" x="4"/>
        <item h="1" x="44"/>
        <item h="1" x="21"/>
        <item x="27"/>
        <item h="1" x="3"/>
        <item h="1" x="0"/>
        <item h="1" x="22"/>
        <item h="1" x="42"/>
        <item h="1" x="48"/>
        <item h="1" x="17"/>
        <item h="1" x="38"/>
        <item h="1" x="8"/>
        <item x="20"/>
        <item h="1" x="12"/>
        <item h="1" x="46"/>
        <item h="1" x="37"/>
        <item h="1" x="24"/>
        <item h="1" x="45"/>
        <item h="1" x="29"/>
        <item h="1" x="35"/>
        <item h="1" x="9"/>
        <item h="1" x="30"/>
        <item h="1" x="13"/>
        <item t="default"/>
      </items>
    </pivotField>
    <pivotField showAll="0"/>
    <pivotField showAll="0">
      <items count="3">
        <item x="1"/>
        <item x="0"/>
        <item t="default"/>
      </items>
    </pivotField>
    <pivotField showAll="0"/>
    <pivotField showAll="0"/>
    <pivotField axis="axisRow" showAll="0">
      <items count="5">
        <item x="2"/>
        <item x="0"/>
        <item x="1"/>
        <item x="3"/>
        <item t="default"/>
      </items>
    </pivotField>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dataField="1" showAll="0"/>
    <pivotField showAll="0"/>
  </pivotFields>
  <rowFields count="1">
    <field x="5"/>
  </rowFields>
  <rowItems count="5">
    <i>
      <x/>
    </i>
    <i>
      <x v="1"/>
    </i>
    <i>
      <x v="2"/>
    </i>
    <i>
      <x v="3"/>
    </i>
    <i t="grand">
      <x/>
    </i>
  </rowItems>
  <colItems count="1">
    <i/>
  </colItems>
  <dataFields count="1">
    <dataField name="Sum of Total_sales" fld="8" baseField="0" baseItem="0"/>
  </dataFields>
  <formats count="2">
    <format dxfId="11">
      <pivotArea type="all" dataOnly="0" outline="0" fieldPosition="0"/>
    </format>
    <format dxfId="10">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185E287-91F8-4311-8E63-1CE732CE2602}"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20:M26" firstHeaderRow="1" firstDataRow="1" firstDataCol="1"/>
  <pivotFields count="10">
    <pivotField axis="axisRow" showAll="0" sortType="descending">
      <items count="51">
        <item h="1" x="39"/>
        <item h="1" x="19"/>
        <item h="1" x="14"/>
        <item h="1" x="34"/>
        <item h="1" x="5"/>
        <item h="1" x="32"/>
        <item h="1" x="41"/>
        <item h="1" x="6"/>
        <item h="1" x="25"/>
        <item h="1" x="2"/>
        <item h="1" x="26"/>
        <item x="10"/>
        <item h="1" x="33"/>
        <item h="1" x="16"/>
        <item x="36"/>
        <item h="1" x="1"/>
        <item h="1" x="43"/>
        <item h="1" x="47"/>
        <item h="1" x="23"/>
        <item h="1" x="15"/>
        <item x="40"/>
        <item h="1" x="28"/>
        <item h="1" x="11"/>
        <item h="1" x="18"/>
        <item h="1" x="31"/>
        <item h="1" x="7"/>
        <item h="1" x="49"/>
        <item h="1" x="4"/>
        <item h="1" x="44"/>
        <item h="1" x="21"/>
        <item x="27"/>
        <item h="1" x="3"/>
        <item h="1" x="0"/>
        <item h="1" x="22"/>
        <item h="1" x="42"/>
        <item h="1" x="48"/>
        <item h="1" x="17"/>
        <item h="1" x="38"/>
        <item h="1" x="8"/>
        <item x="20"/>
        <item h="1" x="12"/>
        <item h="1" x="46"/>
        <item h="1" x="37"/>
        <item h="1" x="24"/>
        <item h="1" x="45"/>
        <item h="1" x="29"/>
        <item h="1" x="35"/>
        <item h="1" x="9"/>
        <item h="1" x="30"/>
        <item h="1" x="13"/>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items count="5">
        <item x="2"/>
        <item x="0"/>
        <item x="1"/>
        <item x="3"/>
        <item t="default"/>
      </items>
    </pivotField>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dataField="1" showAll="0"/>
    <pivotField showAll="0"/>
  </pivotFields>
  <rowFields count="1">
    <field x="0"/>
  </rowFields>
  <rowItems count="6">
    <i>
      <x v="39"/>
    </i>
    <i>
      <x v="11"/>
    </i>
    <i>
      <x v="20"/>
    </i>
    <i>
      <x v="14"/>
    </i>
    <i>
      <x v="30"/>
    </i>
    <i t="grand">
      <x/>
    </i>
  </rowItems>
  <colItems count="1">
    <i/>
  </colItems>
  <dataFields count="1">
    <dataField name="Sum of Total_sales" fld="8" baseField="0" baseItem="0"/>
  </dataFields>
  <formats count="2">
    <format dxfId="13">
      <pivotArea type="all" dataOnly="0" outline="0" fieldPosition="0"/>
    </format>
    <format dxfId="1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7C38321-BC65-4DAF-8861-355A9A49F002}"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0:M13" firstHeaderRow="1" firstDataRow="1" firstDataCol="1"/>
  <pivotFields count="10">
    <pivotField showAll="0">
      <items count="51">
        <item h="1" x="39"/>
        <item h="1" x="19"/>
        <item h="1" x="14"/>
        <item h="1" x="34"/>
        <item h="1" x="5"/>
        <item h="1" x="32"/>
        <item h="1" x="41"/>
        <item h="1" x="6"/>
        <item h="1" x="25"/>
        <item h="1" x="2"/>
        <item h="1" x="26"/>
        <item x="10"/>
        <item h="1" x="33"/>
        <item h="1" x="16"/>
        <item x="36"/>
        <item h="1" x="1"/>
        <item h="1" x="43"/>
        <item h="1" x="47"/>
        <item h="1" x="23"/>
        <item h="1" x="15"/>
        <item x="40"/>
        <item h="1" x="28"/>
        <item h="1" x="11"/>
        <item h="1" x="18"/>
        <item h="1" x="31"/>
        <item h="1" x="7"/>
        <item h="1" x="49"/>
        <item h="1" x="4"/>
        <item h="1" x="44"/>
        <item h="1" x="21"/>
        <item x="27"/>
        <item h="1" x="3"/>
        <item h="1" x="0"/>
        <item h="1" x="22"/>
        <item h="1" x="42"/>
        <item h="1" x="48"/>
        <item h="1" x="17"/>
        <item h="1" x="38"/>
        <item h="1" x="8"/>
        <item x="20"/>
        <item h="1" x="12"/>
        <item h="1" x="46"/>
        <item h="1" x="37"/>
        <item h="1" x="24"/>
        <item h="1" x="45"/>
        <item h="1" x="29"/>
        <item h="1" x="35"/>
        <item h="1" x="9"/>
        <item h="1" x="30"/>
        <item h="1" x="13"/>
        <item t="default"/>
      </items>
    </pivotField>
    <pivotField showAll="0"/>
    <pivotField axis="axisRow" showAll="0">
      <items count="3">
        <item x="1"/>
        <item x="0"/>
        <item t="default"/>
      </items>
    </pivotField>
    <pivotField showAll="0"/>
    <pivotField showAll="0"/>
    <pivotField showAll="0">
      <items count="5">
        <item x="2"/>
        <item x="0"/>
        <item x="1"/>
        <item x="3"/>
        <item t="default"/>
      </items>
    </pivotField>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dataField="1" showAll="0"/>
    <pivotField showAll="0"/>
  </pivotFields>
  <rowFields count="1">
    <field x="2"/>
  </rowFields>
  <rowItems count="3">
    <i>
      <x/>
    </i>
    <i>
      <x v="1"/>
    </i>
    <i t="grand">
      <x/>
    </i>
  </rowItems>
  <colItems count="1">
    <i/>
  </colItems>
  <dataFields count="1">
    <dataField name="Sum of Total_sales" fld="8" baseField="0" baseItem="0"/>
  </dataFields>
  <formats count="2">
    <format dxfId="15">
      <pivotArea type="all" dataOnly="0" outline="0" fieldPosition="0"/>
    </format>
    <format dxfId="14">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38248EA2-38CC-4B36-AE4F-E62073CC9675}" sourceName="Name">
  <pivotTables>
    <pivotTable tabId="12" name="PivotTable1"/>
  </pivotTables>
  <data>
    <tabular pivotCacheId="1874123265">
      <items count="10">
        <i x="0" s="1"/>
        <i x="6" s="1"/>
        <i x="8" s="1"/>
        <i x="3" s="1"/>
        <i x="9" s="1"/>
        <i x="4" s="1"/>
        <i x="2" s="1"/>
        <i x="1"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B92B99D-7542-487A-BCA4-E8AEED50F1F7}" sourceName="Month">
  <pivotTables>
    <pivotTable tabId="12" name="PivotTable3"/>
  </pivotTables>
  <data>
    <tabular pivotCacheId="1874123265">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0535E5B8-1822-4730-B023-83D0DDEAF93F}" sourceName="Day">
  <pivotTables>
    <pivotTable tabId="12" name="PivotTable5"/>
  </pivotTables>
  <data>
    <tabular pivotCacheId="1874123265">
      <items count="7">
        <i x="1" s="1"/>
        <i x="2" s="1"/>
        <i x="3" s="1"/>
        <i x="4" s="1"/>
        <i x="5" s="1"/>
        <i x="6"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F2E3FF8C-A51F-4944-90A8-26968BB9D6B6}" sourceName="name">
  <data>
    <tabular pivotCacheId="411313420">
      <items count="7">
        <i x="2" s="1"/>
        <i x="1" s="1"/>
        <i x="0" s="1"/>
        <i x="5" s="1"/>
        <i x="4" s="1"/>
        <i x="6"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532F7A1D-61BA-4B58-9351-AC9749689B93}" sourceName="month">
  <data>
    <tabular pivotCacheId="411313420">
      <items count="7">
        <i x="0" s="1"/>
        <i x="1" s="1"/>
        <i x="2" s="1"/>
        <i x="3" s="1"/>
        <i x="4" s="1"/>
        <i x="5"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2" xr10:uid="{87BA83E3-AA72-4155-AE7A-79D560363828}" sourceName="day">
  <data>
    <tabular pivotCacheId="411313420">
      <items count="7">
        <i x="0" s="1"/>
        <i x="1" s="1"/>
        <i x="2" s="1"/>
        <i x="3" s="1"/>
        <i x="4" s="1"/>
        <i x="5"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BF75E522-6CB0-4E89-9C09-E182C53AE113}" sourceName="CUSTOMER_NAME">
  <data>
    <tabular pivotCacheId="1089006074">
      <items count="5">
        <i x="0" s="1"/>
        <i x="4" s="1"/>
        <i x="3"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EC43A42-B2C1-4566-AC59-B0EFC7E8851B}" sourceName="product_name">
  <data>
    <tabular pivotCacheId="1926015674">
      <items count="7">
        <i x="3" s="1"/>
        <i x="1" s="1"/>
        <i x="4" s="1"/>
        <i x="6" s="1"/>
        <i x="2" s="1"/>
        <i x="0" s="1"/>
        <i x="5"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AF6E74D-A2C5-4315-87E9-F5A7D8821DBA}" sourceName="STATUS">
  <data>
    <tabular pivotCacheId="1050171483">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4457754-571B-45CC-9B8D-C7FB9895A984}" sourceName="country">
  <data>
    <tabular pivotCacheId="1926015674">
      <items count="6">
        <i x="5" s="1"/>
        <i x="4" s="1"/>
        <i x="0" s="1"/>
        <i x="3" s="1"/>
        <i x="2"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1" xr10:uid="{B464B42D-BBFE-4D6A-97A2-3623442A630A}" sourceName="customer_name">
  <data>
    <tabular pivotCacheId="764752405">
      <items count="10">
        <i x="6" s="1"/>
        <i x="0" s="1"/>
        <i x="5" s="1"/>
        <i x="8" s="1"/>
        <i x="4" s="1"/>
        <i x="3" s="1"/>
        <i x="2" s="1"/>
        <i x="9" s="1"/>
        <i x="1" s="1"/>
        <i x="7"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7FF107-470A-4175-8E86-8B9F7B1CE055}" sourceName="category">
  <data>
    <tabular pivotCacheId="764752405">
      <items count="3">
        <i x="1" s="1"/>
        <i x="0" s="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7993E993-C04A-4C0C-B119-9166A9380177}" sourceName="quantity">
  <data>
    <tabular pivotCacheId="764752405">
      <items count="4">
        <i x="0" s="1"/>
        <i x="1" s="1"/>
        <i x="2" s="1"/>
        <i x="3"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9577CE5F-7C7D-464C-BDB0-0FD741137C4F}" sourceName="country">
  <data>
    <tabular pivotCacheId="764752405">
      <items count="9">
        <i x="0" s="1"/>
        <i x="7" s="1"/>
        <i x="4" s="1"/>
        <i x="1" s="1"/>
        <i x="6" s="1"/>
        <i x="8" s="1"/>
        <i x="5" s="1"/>
        <i x="3" s="1"/>
        <i x="2"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AEB1CDCC-7929-40FD-BFFE-1ED75D5869D0}" sourceName="order_date">
  <data>
    <tabular pivotCacheId="764752405">
      <items count="10">
        <i x="0"/>
        <i x="1" s="1"/>
        <i x="2"/>
        <i x="3"/>
        <i x="4"/>
        <i x="5"/>
        <i x="6"/>
        <i x="7"/>
        <i x="8"/>
        <i x="9"/>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2" xr10:uid="{37D58745-6685-4562-8642-31A9747EBB0B}" sourceName="Name">
  <data>
    <tabular pivotCacheId="807559635">
      <items count="10">
        <i x="6" s="1"/>
        <i x="1" s="1"/>
        <i x="9" s="1"/>
        <i x="3" s="1"/>
        <i x="0" s="1"/>
        <i x="2" s="1"/>
        <i x="8" s="1"/>
        <i x="7" s="1"/>
        <i x="4" s="1"/>
        <i x="5"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740A64-FF5A-4C85-BA43-6236D378B840}" sourceName="Department">
  <data>
    <tabular pivotCacheId="807559635">
      <items count="5">
        <i x="0" s="1"/>
        <i x="4" s="1"/>
        <i x="1" s="1"/>
        <i x="2" s="1"/>
        <i x="3"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nus" xr10:uid="{CE216D66-C90F-4A1A-BCB3-61A2457725CA}" sourceName="Bonus">
  <data>
    <tabular pivotCacheId="807559635">
      <items count="2">
        <i x="0" s="1"/>
        <i x="1"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date" xr10:uid="{E354A6B8-E113-4514-8394-29F3AD9FE4B2}" sourceName="Hire_date">
  <data>
    <tabular pivotCacheId="807559635">
      <items count="10">
        <i x="0" s="1"/>
        <i x="5" s="1"/>
        <i x="9" s="1"/>
        <i x="3" s="1"/>
        <i x="8" s="1"/>
        <i x="7" s="1"/>
        <i x="1" s="1"/>
        <i x="4" s="1"/>
        <i x="6" s="1"/>
        <i x="2"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B84B0F01-1407-4B34-889F-8CD563089AEB}" sourceName="Status">
  <data>
    <tabular pivotCacheId="807559635">
      <items count="2">
        <i x="1" s="1"/>
        <i x="0"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xn_type" xr10:uid="{4733E884-423D-4B53-A8B2-50F86344FF2A}" sourceName="txn_type">
  <data>
    <tabular pivotCacheId="552795191">
      <items count="3">
        <i x="0" s="1"/>
        <i x="1" s="1"/>
        <i x="2"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xn_date" xr10:uid="{BAE09ED1-79EC-443D-821B-CA460D096C16}" sourceName="txn_date">
  <data>
    <tabular pivotCacheId="552795191">
      <items count="20">
        <i x="0" s="1"/>
        <i x="1" s="1"/>
        <i x="2" s="1"/>
        <i x="3" s="1"/>
        <i x="4" s="1"/>
        <i x="5" s="1"/>
        <i x="6" s="1"/>
        <i x="7" s="1"/>
        <i x="8" s="1"/>
        <i x="9" s="1"/>
        <i x="10" s="1"/>
        <i x="11" s="1"/>
        <i x="12" s="1"/>
        <i x="13" s="1"/>
        <i x="14" s="1"/>
        <i x="15" s="1"/>
        <i x="16" s="1"/>
        <i x="17" s="1"/>
        <i x="18" s="1"/>
        <i x="19"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xn_id" xr10:uid="{B057ACA0-432B-4D18-85F9-810E1307BCFA}" sourceName="txn_id">
  <data>
    <tabular pivotCacheId="552795191">
      <items count="20">
        <i x="9" s="1"/>
        <i x="14" s="1"/>
        <i x="6" s="1"/>
        <i x="16" s="1"/>
        <i x="2" s="1"/>
        <i x="18" s="1"/>
        <i x="0" s="1"/>
        <i x="15" s="1"/>
        <i x="4" s="1"/>
        <i x="12" s="1"/>
        <i x="8" s="1"/>
        <i x="19" s="1"/>
        <i x="3" s="1"/>
        <i x="13" s="1"/>
        <i x="1" s="1"/>
        <i x="17" s="1"/>
        <i x="5" s="1"/>
        <i x="11" s="1"/>
        <i x="7" s="1"/>
        <i x="10" s="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5EC4F105-B39B-4277-9187-6713FD9AB12E}" sourceName="Product_name">
  <data>
    <tabular pivotCacheId="1443299965">
      <items count="20">
        <i x="18" s="1"/>
        <i x="4" s="1"/>
        <i x="10" s="1"/>
        <i x="7" s="1"/>
        <i x="13" s="1"/>
        <i x="6" s="1"/>
        <i x="12" s="1"/>
        <i x="2" s="1"/>
        <i x="14" s="1"/>
        <i x="1" s="1"/>
        <i x="11" s="1"/>
        <i x="5" s="1"/>
        <i x="15" s="1"/>
        <i x="19" s="1"/>
        <i x="8" s="1"/>
        <i x="9" s="1"/>
        <i x="17" s="1"/>
        <i x="0" s="1"/>
        <i x="16" s="1"/>
        <i x="3" s="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BBE67DA5-1201-4016-87F1-E870AEC66310}" sourceName="Month">
  <data>
    <tabular pivotCacheId="1691491903">
      <items count="7">
        <i x="6" s="1"/>
        <i x="0" s="1"/>
        <i x="1" s="1"/>
        <i x="2" s="1"/>
        <i x="3" s="1"/>
        <i x="4" s="1"/>
        <i x="5" s="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FDDC48-BABD-4233-AE68-84D294ED5239}" sourceName="Region">
  <data>
    <tabular pivotCacheId="1500617919">
      <items count="5">
        <i x="1" s="1"/>
        <i x="3" s="1"/>
        <i x="0" s="1"/>
        <i x="4" s="1"/>
        <i x="2" s="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_name" xr10:uid="{A2063E99-BBA3-4497-AB83-612B884DBEB3}" sourceName="subject_name">
  <pivotTables>
    <pivotTable tabId="34" name="PivotTable6"/>
    <pivotTable tabId="34" name="PivotTable3"/>
    <pivotTable tabId="34" name="PivotTable4"/>
    <pivotTable tabId="34" name="PivotTable7"/>
  </pivotTables>
  <data>
    <tabular pivotCacheId="656412703">
      <items count="20">
        <i x="9" s="1"/>
        <i x="17" s="1"/>
        <i x="4" s="1"/>
        <i x="3" s="1"/>
        <i x="5" s="1"/>
        <i x="6" s="1"/>
        <i x="19" s="1"/>
        <i x="8" s="1"/>
        <i x="1" s="1"/>
        <i x="11" s="1"/>
        <i x="14" s="1"/>
        <i x="13" s="1"/>
        <i x="15" s="1"/>
        <i x="18" s="1"/>
        <i x="10" s="1"/>
        <i x="12" s="1"/>
        <i x="0" s="1"/>
        <i x="2" s="1"/>
        <i x="16" s="1"/>
        <i x="7" s="1"/>
      </items>
    </tabular>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 xr10:uid="{1812D4E6-4660-4235-906D-05A0D663A69E}" sourceName="rank">
  <pivotTables>
    <pivotTable tabId="34" name="PivotTable6"/>
    <pivotTable tabId="34" name="PivotTable3"/>
    <pivotTable tabId="34" name="PivotTable4"/>
    <pivotTable tabId="34" name="PivotTable7"/>
  </pivotTables>
  <data>
    <tabular pivotCacheId="656412703">
      <items count="19">
        <i x="0" s="1"/>
        <i x="1" s="1"/>
        <i x="2" s="1"/>
        <i x="3" s="1"/>
        <i x="4" s="1"/>
        <i x="5" s="1"/>
        <i x="6" s="1"/>
        <i x="7" s="1"/>
        <i x="8" s="1"/>
        <i x="9" s="1"/>
        <i x="10" s="1"/>
        <i x="11" s="1"/>
        <i x="12" s="1"/>
        <i x="13" s="1"/>
        <i x="14" s="1"/>
        <i x="15" s="1"/>
        <i x="16" s="1"/>
        <i x="17" s="1"/>
        <i x="18" s="1"/>
      </items>
    </tabular>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student" xr10:uid="{81B77B1B-D9CA-4A33-9F79-D4281D63FCE1}" sourceName="Top_student">
  <pivotTables>
    <pivotTable tabId="34" name="PivotTable6"/>
    <pivotTable tabId="34" name="PivotTable3"/>
    <pivotTable tabId="34" name="PivotTable4"/>
    <pivotTable tabId="34" name="PivotTable7"/>
  </pivotTables>
  <data>
    <tabular pivotCacheId="656412703">
      <items count="4">
        <i x="0" s="1"/>
        <i x="1" s="1"/>
        <i x="2" s="1"/>
        <i x="3" s="1"/>
      </items>
    </tabular>
  </data>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student_score" xr10:uid="{63790970-5A82-4162-B40B-119F29062FAA}" sourceName="Top_student_score">
  <pivotTables>
    <pivotTable tabId="34" name="PivotTable6"/>
    <pivotTable tabId="34" name="PivotTable3"/>
    <pivotTable tabId="34" name="PivotTable4"/>
    <pivotTable tabId="34" name="PivotTable7"/>
  </pivotTables>
  <data>
    <tabular pivotCacheId="656412703">
      <items count="4">
        <i x="2" s="1"/>
        <i x="1" s="1"/>
        <i x="0" s="1"/>
        <i x="3" s="1"/>
      </items>
    </tabular>
  </data>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2" xr10:uid="{1E553F1C-F1AF-4A95-A322-AE9A232AA377}" sourceName="Customer_name">
  <pivotTables>
    <pivotTable tabId="42" name="PivotTable6"/>
  </pivotTables>
  <data>
    <tabular pivotCacheId="902138746">
      <items count="18">
        <i x="17" s="1"/>
        <i x="12" s="1"/>
        <i x="10" s="1"/>
        <i x="16" s="1"/>
        <i x="15" s="1"/>
        <i x="7" s="1"/>
        <i x="2" s="1"/>
        <i x="13" s="1"/>
        <i x="1" s="1"/>
        <i x="14" s="1"/>
        <i x="3" s="1"/>
        <i x="8" s="1"/>
        <i x="0" s="1"/>
        <i x="6" s="1"/>
        <i x="11" s="1"/>
        <i x="9" s="1"/>
        <i x="4" s="1"/>
        <i x="5" s="1"/>
      </items>
    </tabular>
  </data>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95550C39-3902-4E60-8D26-F6F31D369DAD}" sourceName="country">
  <pivotTables>
    <pivotTable tabId="42" name="PivotTable6"/>
  </pivotTables>
  <data>
    <tabular pivotCacheId="902138746">
      <items count="5">
        <i x="0" s="1"/>
        <i x="4" s="1"/>
        <i x="1" s="1"/>
        <i x="3" s="1"/>
        <i x="2" s="1"/>
      </items>
    </tabular>
  </data>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2" xr10:uid="{5626F9AA-CB24-4FA1-88D7-3B041A9525FF}" sourceName="product_name,">
  <pivotTables>
    <pivotTable tabId="42" name="PivotTable6"/>
  </pivotTables>
  <data>
    <tabular pivotCacheId="902138746">
      <items count="10">
        <i x="8" s="1"/>
        <i x="3" s="1"/>
        <i x="9" s="1"/>
        <i x="1" s="1"/>
        <i x="0" s="1"/>
        <i x="5" s="1"/>
        <i x="4" s="1"/>
        <i x="2" s="1"/>
        <i x="7" s="1"/>
        <i x="6" s="1"/>
      </items>
    </tabular>
  </data>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0DBBF0A-04D7-4D60-9B7C-2B35AB004642}" sourceName="Months (order_date)">
  <pivotTables>
    <pivotTable tabId="42" name="PivotTable6"/>
  </pivotTables>
  <data>
    <tabular pivotCacheId="902138746">
      <items count="14">
        <i x="1" s="1"/>
        <i x="2" s="1"/>
        <i x="3" s="1"/>
        <i x="4" s="1"/>
        <i x="5" s="1" nd="1"/>
        <i x="6" s="1" nd="1"/>
        <i x="7" s="1" nd="1"/>
        <i x="8" s="1" nd="1"/>
        <i x="9" s="1" nd="1"/>
        <i x="10" s="1" nd="1"/>
        <i x="11" s="1" nd="1"/>
        <i x="12" s="1" nd="1"/>
        <i x="0" s="1" nd="1"/>
        <i x="13" s="1" nd="1"/>
      </items>
    </tabular>
  </data>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_name2" xr10:uid="{8EEB862C-8E03-47C8-8363-45A709AC8380}" sourceName="subject_name2">
  <pivotTables>
    <pivotTable tabId="37" name="PivotTable1"/>
  </pivotTables>
  <data>
    <tabular pivotCacheId="483107744">
      <items count="4">
        <i x="0" s="1"/>
        <i x="1" s="1"/>
        <i x="2" s="1"/>
        <i x="3" s="1" nd="1"/>
      </items>
    </tabular>
  </data>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rank" xr10:uid="{E56E68B7-6B8D-4E37-B358-7D602227B00C}" sourceName="student_rank">
  <pivotTables>
    <pivotTable tabId="37" name="PivotTable5"/>
  </pivotTables>
  <data>
    <tabular pivotCacheId="483107744">
      <items count="15">
        <i x="0" s="1"/>
        <i x="1" s="1"/>
        <i x="2" s="1"/>
        <i x="3" s="1"/>
        <i x="4" s="1"/>
        <i x="5" s="1"/>
        <i x="6" s="1"/>
        <i x="7" s="1"/>
        <i x="8" s="1"/>
        <i x="9" s="1"/>
        <i x="10" s="1"/>
        <i x="11" s="1"/>
        <i x="12" s="1"/>
        <i x="13" s="1"/>
        <i x="14" s="1" nd="1"/>
      </items>
    </tabular>
  </data>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21" xr10:uid="{CF1BBD79-F847-431E-9B8F-4E0CD09EF2EB}" sourceName="name2">
  <pivotTables>
    <pivotTable tabId="37" name="PivotTable3"/>
  </pivotTables>
  <data>
    <tabular pivotCacheId="483107744">
      <items count="4">
        <i x="2" s="1"/>
        <i x="0" s="1"/>
        <i x="1" s="1"/>
        <i x="3" s="1" nd="1"/>
      </items>
    </tabular>
  </data>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3" xr10:uid="{C8D30BBB-5DFB-4ACC-83E3-F3D8237D123F}" sourceName="customer_name">
  <pivotTables>
    <pivotTable tabId="45" name="PivotTable3"/>
  </pivotTables>
  <data>
    <tabular pivotCacheId="502428285">
      <items count="40">
        <i x="9" s="1"/>
        <i x="22"/>
        <i x="17"/>
        <i x="35"/>
        <i x="25"/>
        <i x="23"/>
        <i x="10"/>
        <i x="4"/>
        <i x="11"/>
        <i x="19" s="1"/>
        <i x="34"/>
        <i x="37"/>
        <i x="21"/>
        <i x="1"/>
        <i x="16"/>
        <i x="30"/>
        <i x="39" s="1"/>
        <i x="28"/>
        <i x="15"/>
        <i x="6"/>
        <i x="32"/>
        <i x="3"/>
        <i x="36"/>
        <i x="29" s="1"/>
        <i x="14"/>
        <i x="26"/>
        <i x="5"/>
        <i x="0"/>
        <i x="33" s="1"/>
        <i x="24"/>
        <i x="18"/>
        <i x="31"/>
        <i x="12"/>
        <i x="7"/>
        <i x="2"/>
        <i x="13"/>
        <i x="38"/>
        <i x="20"/>
        <i x="8"/>
        <i x="27"/>
      </items>
    </tabular>
  </data>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date" xr10:uid="{37432C6A-A2D8-480E-A737-D81BCF236F43}" sourceName="transaction_date">
  <pivotTables>
    <pivotTable tabId="45" name="PivotTable7"/>
    <pivotTable tabId="45" name="PivotTable1"/>
    <pivotTable tabId="45" name="PivotTable11"/>
    <pivotTable tabId="45" name="PivotTable3"/>
    <pivotTable tabId="45" name="PivotTable5"/>
    <pivotTable tabId="45" name="PivotTable9"/>
  </pivotTables>
  <data>
    <tabular pivotCacheId="502428285">
      <items count="20">
        <i x="0" s="1"/>
        <i x="1" s="1"/>
        <i x="2" s="1"/>
        <i x="3" s="1"/>
        <i x="4" s="1"/>
        <i x="5" s="1"/>
        <i x="6" s="1"/>
        <i x="7" s="1"/>
        <i x="8" s="1"/>
        <i x="9" s="1"/>
        <i x="10" s="1"/>
        <i x="11" s="1"/>
        <i x="12" s="1"/>
        <i x="13" s="1"/>
        <i x="14" s="1"/>
        <i x="15" s="1"/>
        <i x="16" s="1"/>
        <i x="17" s="1"/>
        <i x="18" s="1"/>
        <i x="19" s="1"/>
      </items>
    </tabular>
  </data>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E8B7FAE0-AD47-4876-9999-173170F9F267}" sourceName="branch_name">
  <pivotTables>
    <pivotTable tabId="45" name="PivotTable7"/>
    <pivotTable tabId="45" name="PivotTable1"/>
    <pivotTable tabId="45" name="PivotTable11"/>
    <pivotTable tabId="45" name="PivotTable3"/>
    <pivotTable tabId="45" name="PivotTable5"/>
    <pivotTable tabId="45" name="PivotTable9"/>
  </pivotTables>
  <data>
    <tabular pivotCacheId="502428285">
      <items count="5">
        <i x="0" s="1"/>
        <i x="2" s="1"/>
        <i x="1" s="1"/>
        <i x="4" s="1"/>
        <i x="3" s="1"/>
      </items>
    </tabular>
  </data>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CD00208-BAB1-4D7F-B6FD-762D2858B4CD}" sourceName="category">
  <pivotTables>
    <pivotTable tabId="47" name="PivotTable10"/>
    <pivotTable tabId="47" name="PivotTable11"/>
    <pivotTable tabId="47" name="PivotTable4"/>
    <pivotTable tabId="47" name="PivotTable6"/>
    <pivotTable tabId="47" name="PivotTable8"/>
  </pivotTables>
  <data>
    <tabular pivotCacheId="1472979709">
      <items count="2">
        <i x="1" s="1"/>
        <i x="0" s="1"/>
      </items>
    </tabular>
  </data>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91A4D87-620B-4DC3-801C-FD553A5D96EB}" sourceName="region">
  <pivotTables>
    <pivotTable tabId="47" name="PivotTable10"/>
    <pivotTable tabId="47" name="PivotTable11"/>
    <pivotTable tabId="47" name="PivotTable4"/>
    <pivotTable tabId="47" name="PivotTable6"/>
    <pivotTable tabId="47" name="PivotTable8"/>
  </pivotTables>
  <data>
    <tabular pivotCacheId="1472979709">
      <items count="4">
        <i x="2" s="1"/>
        <i x="0" s="1"/>
        <i x="1" s="1"/>
        <i x="3" s="1"/>
      </items>
    </tabular>
  </data>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date" xr10:uid="{BDB29DB9-866A-4521-A289-49F534AB12B0}" sourceName="sale_date">
  <pivotTables>
    <pivotTable tabId="47" name="PivotTable10"/>
    <pivotTable tabId="47" name="PivotTable11"/>
    <pivotTable tabId="47" name="PivotTable4"/>
    <pivotTable tabId="47" name="PivotTable6"/>
    <pivotTable tabId="47" name="PivotTable8"/>
  </pivotTables>
  <data>
    <tabular pivotCacheId="1472979709">
      <items count="25">
        <i x="0" s="1"/>
        <i x="1" s="1"/>
        <i x="2" s="1"/>
        <i x="3" s="1"/>
        <i x="4" s="1"/>
        <i x="5" s="1"/>
        <i x="6" s="1"/>
        <i x="7" s="1"/>
        <i x="8" s="1"/>
        <i x="9" s="1"/>
        <i x="10" s="1"/>
        <i x="11" s="1"/>
        <i x="12" s="1"/>
        <i x="13" s="1"/>
        <i x="14" s="1"/>
        <i x="15" s="1"/>
        <i x="16" s="1"/>
        <i x="17" s="1"/>
        <i x="18" s="1"/>
        <i x="19" s="1"/>
        <i x="20" s="1"/>
        <i x="21" s="1"/>
        <i x="22" s="1"/>
        <i x="23" s="1"/>
        <i x="24" s="1"/>
      </items>
    </tabular>
  </data>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4" xr10:uid="{047FC478-ABEA-4403-AE58-1DA5EAEA5277}" sourceName="customer_name">
  <pivotTables>
    <pivotTable tabId="47" name="PivotTable8"/>
  </pivotTables>
  <data>
    <tabular pivotCacheId="1472979709">
      <items count="50">
        <i x="39"/>
        <i x="19"/>
        <i x="14"/>
        <i x="34"/>
        <i x="5"/>
        <i x="32"/>
        <i x="41"/>
        <i x="6"/>
        <i x="25"/>
        <i x="2"/>
        <i x="26"/>
        <i x="10" s="1"/>
        <i x="33"/>
        <i x="16"/>
        <i x="36" s="1"/>
        <i x="1"/>
        <i x="43"/>
        <i x="47"/>
        <i x="23"/>
        <i x="15"/>
        <i x="40" s="1"/>
        <i x="28"/>
        <i x="11"/>
        <i x="18"/>
        <i x="31"/>
        <i x="7"/>
        <i x="49"/>
        <i x="4"/>
        <i x="44"/>
        <i x="21"/>
        <i x="27" s="1"/>
        <i x="3"/>
        <i x="0"/>
        <i x="22"/>
        <i x="42"/>
        <i x="48"/>
        <i x="17"/>
        <i x="38"/>
        <i x="8"/>
        <i x="20" s="1"/>
        <i x="12"/>
        <i x="46"/>
        <i x="37"/>
        <i x="24"/>
        <i x="45"/>
        <i x="29"/>
        <i x="35"/>
        <i x="9"/>
        <i x="30"/>
        <i x="1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ED09F87E-B2C5-43B1-AB79-18AEF9DE30BF}" cache="Slicer_Name" caption="Name" columnCount="2" style="SlicerStyleDark1" rowHeight="241300"/>
  <slicer name="Month" xr10:uid="{DB58F689-2474-4298-B975-FB211E13B908}" cache="Slicer_Month" caption="Month" columnCount="3" style="SlicerStyleLight4" rowHeight="241300"/>
  <slicer name="Day" xr10:uid="{435456FE-EA8F-4A47-B24F-5CB1AB21CB89}" cache="Slicer_Day" caption="Day" columnCount="2"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2" xr10:uid="{0E64ACE2-5A68-4B81-BB3D-4E31040E4011}" cache="Slicer_Customer_name2" caption="Customer_name" style="Slicer Style 3" rowHeight="241300"/>
  <slicer name="country 2" xr10:uid="{BD1BA9F0-2727-4B72-B629-76290E066508}" cache="Slicer_country2" caption="country" style="Slicer Style 3" rowHeight="241300"/>
  <slicer name="product_name," xr10:uid="{5B018C15-1D1E-412B-928B-ED4A16F4FA85}" cache="Slicer_product_name2" caption="product_name," style="Slicer Style 3" rowHeight="241300"/>
  <slicer name="Months (order_date)" xr10:uid="{0D2E6325-73B2-4AAC-8BDA-C6C2500A8770}" cache="Slicer_Months__order_date" caption="Months (order_date)" style="Slicer Style 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4E1A6C49-D0E8-40BA-BA1B-89C572D49D06}" cache="Slicer_CUSTOMER_NAME" caption="CUSTOMER_NAME" style="SlicerStyleDark5" rowHeight="241300"/>
  <slicer name="product_name" xr10:uid="{F0F07F4B-6A7E-447F-A500-D51783D4DE7E}" cache="Slicer_product_name" caption="product_name" style="SlicerStyleDark6" rowHeight="241300"/>
  <slicer name="STATUS" xr10:uid="{C9A72499-B653-43C6-92F6-068B8F65545C}" cache="Slicer_STATUS" caption="STATUS" style="SlicerStyleOther2" rowHeight="241300"/>
  <slicer name="country" xr10:uid="{F57CC002-A8DF-46CD-8F27-CB274CFF7415}" cache="Slicer_country" caption="country" columnCount="2" style="SlicerStyleDark5"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2" xr10:uid="{1EEA0BC5-5B52-49A7-9416-5DB469CD7217}" cache="Slicer_name1" caption="name" style="SlicerStyleLight4" rowHeight="241300"/>
  <slicer name="month 2" xr10:uid="{E1D42709-E977-4C59-9752-E73CC61FE819}" cache="Slicer_month2" caption="month" style="SlicerStyleDark2" rowHeight="241300"/>
  <slicer name="day 2" xr10:uid="{A7265178-4614-413D-8F4F-C5101073E1B7}" cache="Slicer_day2" caption="day" style="SlicerStyleDark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1" xr10:uid="{6A506809-E5C4-4448-874D-F776DE1D2C0A}" cache="Slicer_customer_name1" caption="customer_name" startItem="3" style="Slicer Style 3" rowHeight="241300"/>
  <slicer name="category" xr10:uid="{172489CB-682F-467A-83F7-746AB1EC2AC0}" cache="Slicer_category" caption="category" style="Slicer Style 3" rowHeight="241300"/>
  <slicer name="quantity" xr10:uid="{74850976-5737-4F8B-AD94-B64AFC97EA44}" cache="Slicer_quantity" caption="quantity" style="Slicer Style 3" rowHeight="241300"/>
  <slicer name="country 1" xr10:uid="{5156BAB0-0756-44BD-BAFC-F67E262B482B}" cache="Slicer_country1" caption="country" style="Slicer Style 3" rowHeight="241300"/>
  <slicer name="order_date" xr10:uid="{CD9DBFD2-08B3-428E-88A8-30A3986953B1}" cache="Slicer_order_date" caption="order_date" style="Slicer Style 3"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3" xr10:uid="{12067860-6966-4FBE-9D23-75E5FE2C21F3}" cache="Slicer_Name2" caption="Name" style="Slicer Style 1" rowHeight="241300"/>
  <slicer name="Department" xr10:uid="{09D47775-039D-4D0A-91DC-8A3CAD4289C9}" cache="Slicer_Department" caption="Department" style="Slicer Style 1" rowHeight="241300"/>
  <slicer name="Bonus" xr10:uid="{84B723E2-C0EC-4B17-86D0-590908BEA31E}" cache="Slicer_Bonus" caption="Bonus" style="Slicer Style 1" rowHeight="241300"/>
  <slicer name="Hire_date" xr10:uid="{27B8DB8B-070B-4768-ABF9-65C9943A669B}" cache="Slicer_Hire_date" caption="Hire_date" style="Slicer Style 1" rowHeight="241300"/>
  <slicer name="Status 1" xr10:uid="{C7E654C3-E709-472A-A701-C6670E5C3083}" cache="Slicer_Status1" caption="Status" style="Slicer Style 1"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xn_type" xr10:uid="{92F5216B-7608-4876-950F-EA554CB028C0}" cache="Slicer_txn_type" caption="txn_type" style="Slicer Style 3" rowHeight="241300"/>
  <slicer name="txn_date" xr10:uid="{93B8794A-2590-498A-AF23-B7BC6D18A296}" cache="Slicer_txn_date" caption="txn_date" style="Slicer Style 3" rowHeight="241300"/>
  <slicer name="txn_id" xr10:uid="{FC96D278-E6FD-4223-BA2D-4228CB4F2507}" cache="Slicer_txn_id" caption="txn_id" style="Slicer Style 3"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_name2" xr10:uid="{A6AE4822-92E8-41F4-A499-EAB1B439CD1A}" cache="Slicer_subject_name2" caption="subject_name2" style="SlicerStyleLight2" rowHeight="241300"/>
  <slicer name="student_rank" xr10:uid="{19588F34-AFCD-4027-8201-45B494384A2F}" cache="Slicer_student_rank" caption="student_rank" style="SlicerStyleLight2" rowHeight="241300"/>
  <slicer name="name2" xr10:uid="{852AB1DF-44BD-408B-A80C-C564DA410B19}" cache="Slicer_name21" caption="name2" style="SlicerStyleLight2"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9E196287-5DEC-4383-AE96-EFAF6EA14B03}" cache="Slicer_Product_name1" caption="Product_name" style="Slicer Style 6" rowHeight="241300"/>
  <slicer name="Month 1" xr10:uid="{C6DC416D-249D-4BBF-94B0-9DEC3451220E}" cache="Slicer_Month1" caption="Month" style="Slicer Style 6" rowHeight="241300"/>
  <slicer name="Region" xr10:uid="{53890DD0-4035-41D9-A866-0F86237D3FAF}" cache="Slicer_Region" caption="Region" style="Slicer Style 6" rowHeight="2413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_name" xr10:uid="{8F8892FA-A34B-4B1A-AEFA-A289491FDA2C}" cache="Slicer_subject_name" caption="subject_name" style="Slicer Style 3" rowHeight="241300"/>
  <slicer name="rank" xr10:uid="{0F174AFC-EAE8-4737-83B1-EAE76D0D0C89}" cache="Slicer_rank" caption="rank" startItem="16" style="Slicer Style 3" rowHeight="241300"/>
  <slicer name="Top_student" xr10:uid="{6E1D44BB-DF9A-418B-A69B-AC00CB3BDE57}" cache="Slicer_Top_student" caption="Top_student" style="Slicer Style 3" rowHeight="241300"/>
  <slicer name="Top_student_score" xr10:uid="{DFAB0577-60DB-42D9-9935-EE19467A9AB6}" cache="Slicer_Top_student_score" caption="Top_student_score" style="Slicer Style 3" rowHeight="24130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3" xr10:uid="{09170224-824C-421E-B521-8270208974AE}" cache="Slicer_customer_name3" caption="customer_name" style="Slicer Style 6" rowHeight="241300"/>
  <slicer name="transaction_date" xr10:uid="{D6D5FC65-0B56-4668-8744-2A18E93ADE37}" cache="Slicer_transaction_date" caption="transaction_date" style="Slicer Style 6" rowHeight="241300"/>
  <slicer name="branch_name" xr10:uid="{7C5A2D86-A38F-4511-B889-BD51A0217E1D}" cache="Slicer_branch_name" caption="branch_name" style="Slicer Style 6" rowHeight="24130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F11BFE7-954C-4451-B470-B6489C40A430}" cache="Slicer_category1" caption="category" style="Slicer Style 6" rowHeight="241300"/>
  <slicer name="region 1" xr10:uid="{8FC83319-F097-4772-B345-56657DFD3789}" cache="Slicer_region1" caption="region" style="Slicer Style 6" rowHeight="241300"/>
  <slicer name="sale_date" xr10:uid="{2401F4D1-4CA0-4319-9797-A6BCC0E3249F}" cache="Slicer_sale_date" caption="sale_date" style="Slicer Style 6" rowHeight="241300"/>
  <slicer name="customer_name 4" xr10:uid="{6263F23F-D4C2-43DB-BEDB-53EF04EFCEFF}" cache="Slicer_customer_name4" caption="customer_name" style="Slicer Style 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cribd.com/document/821088659/Data-Analytics-6-Month-Roadmap?utm_source=chatgpt.com"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pivotTable" Target="../pivotTables/pivotTable17.xml"/></Relationships>
</file>

<file path=xl/worksheets/_rels/sheet18.xml.rels><?xml version="1.0" encoding="UTF-8" standalone="yes"?>
<Relationships xmlns="http://schemas.openxmlformats.org/package/2006/relationships"><Relationship Id="rId2" Type="http://schemas.microsoft.com/office/2007/relationships/slicer" Target="../slicers/slicer10.xml"/><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_rels/sheet21.xml.rels><?xml version="1.0" encoding="UTF-8" standalone="yes"?>
<Relationships xmlns="http://schemas.openxmlformats.org/package/2006/relationships"><Relationship Id="rId2" Type="http://schemas.microsoft.com/office/2007/relationships/slicer" Target="../slicers/slicer11.xml"/><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3" Type="http://schemas.openxmlformats.org/officeDocument/2006/relationships/pivotTable" Target="../pivotTables/pivotTable26.xml"/><Relationship Id="rId2" Type="http://schemas.openxmlformats.org/officeDocument/2006/relationships/pivotTable" Target="../pivotTables/pivotTable25.xml"/><Relationship Id="rId1" Type="http://schemas.openxmlformats.org/officeDocument/2006/relationships/pivotTable" Target="../pivotTables/pivotTable24.xml"/><Relationship Id="rId5" Type="http://schemas.openxmlformats.org/officeDocument/2006/relationships/pivotTable" Target="../pivotTables/pivotTable28.xml"/><Relationship Id="rId4" Type="http://schemas.openxmlformats.org/officeDocument/2006/relationships/pivotTable" Target="../pivotTables/pivotTable27.xml"/></Relationships>
</file>

<file path=xl/worksheets/_rels/sheet23.xml.rels><?xml version="1.0" encoding="UTF-8" standalone="yes"?>
<Relationships xmlns="http://schemas.openxmlformats.org/package/2006/relationships"><Relationship Id="rId2" Type="http://schemas.microsoft.com/office/2007/relationships/slicer" Target="../slicers/slicer12.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790D8-8E5A-4F61-ABA7-896E2644ECF3}">
  <dimension ref="A1:C7"/>
  <sheetViews>
    <sheetView zoomScale="86" zoomScaleNormal="86" workbookViewId="0">
      <selection activeCell="C3" sqref="C3"/>
    </sheetView>
  </sheetViews>
  <sheetFormatPr defaultRowHeight="15" x14ac:dyDescent="0.25"/>
  <cols>
    <col min="2" max="2" width="10.140625" customWidth="1"/>
    <col min="3" max="3" width="147.5703125" customWidth="1"/>
  </cols>
  <sheetData>
    <row r="1" spans="1:3" x14ac:dyDescent="0.25">
      <c r="A1" s="4" t="s">
        <v>5</v>
      </c>
      <c r="C1" s="5" t="s">
        <v>7</v>
      </c>
    </row>
    <row r="2" spans="1:3" ht="75" x14ac:dyDescent="0.25">
      <c r="A2" s="3" t="s">
        <v>8</v>
      </c>
      <c r="B2" s="8" t="s">
        <v>9</v>
      </c>
      <c r="C2" s="5" t="s">
        <v>6</v>
      </c>
    </row>
    <row r="3" spans="1:3" ht="106.5" customHeight="1" x14ac:dyDescent="0.25">
      <c r="A3" s="3" t="s">
        <v>10</v>
      </c>
      <c r="B3" s="8" t="s">
        <v>11</v>
      </c>
      <c r="C3" s="6" t="s">
        <v>12</v>
      </c>
    </row>
    <row r="4" spans="1:3" ht="96" customHeight="1" x14ac:dyDescent="0.25">
      <c r="A4" s="3" t="s">
        <v>13</v>
      </c>
      <c r="B4" s="8" t="s">
        <v>14</v>
      </c>
      <c r="C4" s="6" t="s">
        <v>15</v>
      </c>
    </row>
    <row r="5" spans="1:3" ht="112.5" customHeight="1" x14ac:dyDescent="0.25">
      <c r="A5" s="3" t="s">
        <v>16</v>
      </c>
      <c r="B5" s="8" t="s">
        <v>17</v>
      </c>
      <c r="C5" s="6" t="s">
        <v>18</v>
      </c>
    </row>
    <row r="6" spans="1:3" ht="84" customHeight="1" x14ac:dyDescent="0.25">
      <c r="A6" s="3" t="s">
        <v>19</v>
      </c>
      <c r="B6" s="8" t="s">
        <v>20</v>
      </c>
      <c r="C6" s="7" t="s">
        <v>21</v>
      </c>
    </row>
    <row r="7" spans="1:3" ht="59.25" customHeight="1" x14ac:dyDescent="0.25">
      <c r="A7" s="3" t="s">
        <v>22</v>
      </c>
      <c r="B7" s="8" t="s">
        <v>23</v>
      </c>
      <c r="C7" s="6" t="s">
        <v>24</v>
      </c>
    </row>
  </sheetData>
  <hyperlinks>
    <hyperlink ref="C6" r:id="rId1" tooltip="Data Analytics 6 Month Roadmap | PDF" display="https://www.scribd.com/document/821088659/Data-Analytics-6-Month-Roadmap?utm_source=chatgpt.com" xr:uid="{8B702C8D-901E-4964-824B-1E7DBF7E982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06A08-6D1B-4A5F-9995-4FFEAFA8C61F}">
  <dimension ref="A1:S17"/>
  <sheetViews>
    <sheetView zoomScale="89" zoomScaleNormal="89" workbookViewId="0">
      <selection activeCell="L22" sqref="L22"/>
    </sheetView>
  </sheetViews>
  <sheetFormatPr defaultRowHeight="15" x14ac:dyDescent="0.25"/>
  <cols>
    <col min="1" max="1" width="17.7109375" bestFit="1" customWidth="1"/>
    <col min="2" max="2" width="48.140625" bestFit="1" customWidth="1"/>
    <col min="3" max="3" width="26.28515625" bestFit="1" customWidth="1"/>
    <col min="11" max="11" width="16.42578125" bestFit="1" customWidth="1"/>
    <col min="12" max="12" width="25.5703125" bestFit="1" customWidth="1"/>
    <col min="13" max="13" width="38" bestFit="1" customWidth="1"/>
    <col min="14" max="14" width="19.140625" bestFit="1" customWidth="1"/>
  </cols>
  <sheetData>
    <row r="1" spans="1:19" x14ac:dyDescent="0.25">
      <c r="A1" s="67" t="s">
        <v>26</v>
      </c>
      <c r="B1" s="67"/>
      <c r="C1" s="67"/>
      <c r="D1" s="67"/>
      <c r="E1" s="67"/>
      <c r="F1" s="67"/>
      <c r="G1" s="67"/>
      <c r="H1" s="67"/>
      <c r="I1" s="67"/>
      <c r="J1" s="67"/>
      <c r="K1" s="67"/>
    </row>
    <row r="2" spans="1:19" x14ac:dyDescent="0.25">
      <c r="A2" s="68" t="s">
        <v>27</v>
      </c>
      <c r="B2" s="68"/>
      <c r="C2" s="68"/>
      <c r="D2" s="69"/>
      <c r="E2" s="69"/>
      <c r="J2" s="65" t="s">
        <v>64</v>
      </c>
      <c r="K2" s="65"/>
      <c r="L2" s="65"/>
      <c r="M2" s="65"/>
      <c r="N2" s="65"/>
      <c r="O2" s="65"/>
      <c r="P2" s="65"/>
      <c r="Q2" s="65"/>
      <c r="R2" s="65"/>
      <c r="S2" s="65"/>
    </row>
    <row r="3" spans="1:19" s="1" customFormat="1" ht="24.75" customHeight="1" x14ac:dyDescent="0.25">
      <c r="A3" s="13" t="s">
        <v>28</v>
      </c>
      <c r="B3" s="13" t="s">
        <v>29</v>
      </c>
      <c r="C3" s="13" t="s">
        <v>30</v>
      </c>
      <c r="D3" s="63" t="s">
        <v>61</v>
      </c>
      <c r="E3" s="63"/>
      <c r="F3" s="63"/>
      <c r="L3" s="11" t="s">
        <v>28</v>
      </c>
      <c r="M3" s="11" t="s">
        <v>65</v>
      </c>
      <c r="N3" s="11" t="s">
        <v>51</v>
      </c>
    </row>
    <row r="4" spans="1:19" ht="22.5" customHeight="1" x14ac:dyDescent="0.25">
      <c r="A4" s="14" t="s">
        <v>31</v>
      </c>
      <c r="B4" s="15" t="s">
        <v>37</v>
      </c>
      <c r="C4" s="16" t="s">
        <v>43</v>
      </c>
      <c r="D4" t="s">
        <v>62</v>
      </c>
      <c r="L4" s="12" t="s">
        <v>66</v>
      </c>
      <c r="M4" s="12" t="s">
        <v>71</v>
      </c>
      <c r="N4" s="12" t="s">
        <v>76</v>
      </c>
    </row>
    <row r="5" spans="1:19" ht="21.75" customHeight="1" x14ac:dyDescent="0.25">
      <c r="A5" s="14" t="s">
        <v>32</v>
      </c>
      <c r="B5" s="15" t="s">
        <v>38</v>
      </c>
      <c r="C5" s="16" t="s">
        <v>44</v>
      </c>
      <c r="D5" s="63" t="s">
        <v>63</v>
      </c>
      <c r="E5" s="63"/>
      <c r="F5" s="63"/>
      <c r="G5" s="63"/>
      <c r="H5" s="63"/>
      <c r="I5" s="63"/>
      <c r="L5" s="12" t="s">
        <v>67</v>
      </c>
      <c r="M5" s="12" t="s">
        <v>72</v>
      </c>
      <c r="N5" s="12" t="s">
        <v>77</v>
      </c>
    </row>
    <row r="6" spans="1:19" ht="23.25" customHeight="1" x14ac:dyDescent="0.25">
      <c r="A6" s="14" t="s">
        <v>33</v>
      </c>
      <c r="B6" s="17" t="s">
        <v>39</v>
      </c>
      <c r="C6" s="16" t="s">
        <v>45</v>
      </c>
      <c r="D6" s="9"/>
      <c r="E6" s="9"/>
      <c r="F6" s="9"/>
      <c r="G6" s="9"/>
      <c r="H6" s="9"/>
      <c r="I6" s="9"/>
      <c r="L6" s="12" t="s">
        <v>68</v>
      </c>
      <c r="M6" s="12" t="s">
        <v>73</v>
      </c>
      <c r="N6" s="12" t="s">
        <v>78</v>
      </c>
    </row>
    <row r="7" spans="1:19" ht="21.75" customHeight="1" x14ac:dyDescent="0.25">
      <c r="A7" s="14" t="s">
        <v>34</v>
      </c>
      <c r="B7" s="18" t="s">
        <v>40</v>
      </c>
      <c r="C7" s="16" t="s">
        <v>46</v>
      </c>
      <c r="D7" s="9"/>
      <c r="E7" s="9"/>
      <c r="F7" s="9"/>
      <c r="G7" s="9"/>
      <c r="H7" s="9"/>
      <c r="I7" s="9"/>
      <c r="L7" s="12" t="s">
        <v>69</v>
      </c>
      <c r="M7" s="12" t="s">
        <v>74</v>
      </c>
      <c r="N7" s="12" t="s">
        <v>79</v>
      </c>
    </row>
    <row r="8" spans="1:19" ht="25.5" customHeight="1" x14ac:dyDescent="0.25">
      <c r="A8" s="14" t="s">
        <v>35</v>
      </c>
      <c r="B8" s="17" t="s">
        <v>41</v>
      </c>
      <c r="C8" s="16" t="s">
        <v>47</v>
      </c>
      <c r="D8" s="9"/>
      <c r="E8" s="9"/>
      <c r="F8" s="9"/>
      <c r="G8" s="9"/>
      <c r="H8" s="9"/>
      <c r="I8" s="9"/>
      <c r="L8" s="12" t="s">
        <v>70</v>
      </c>
      <c r="M8" s="12" t="s">
        <v>75</v>
      </c>
      <c r="N8" s="12" t="s">
        <v>80</v>
      </c>
    </row>
    <row r="9" spans="1:19" ht="27" customHeight="1" x14ac:dyDescent="0.25">
      <c r="A9" s="14" t="s">
        <v>36</v>
      </c>
      <c r="B9" s="17" t="s">
        <v>42</v>
      </c>
      <c r="C9" s="16" t="s">
        <v>48</v>
      </c>
    </row>
    <row r="10" spans="1:19" x14ac:dyDescent="0.25">
      <c r="A10" s="70"/>
      <c r="B10" s="70"/>
      <c r="C10" s="70"/>
      <c r="K10" s="66" t="s">
        <v>81</v>
      </c>
      <c r="L10" s="66"/>
      <c r="M10" s="66"/>
      <c r="N10" s="66"/>
    </row>
    <row r="11" spans="1:19" ht="28.5" customHeight="1" x14ac:dyDescent="0.25">
      <c r="A11" s="63"/>
      <c r="B11" s="63"/>
      <c r="C11" s="63"/>
      <c r="K11" s="66"/>
      <c r="L11" s="66"/>
      <c r="M11" s="66"/>
      <c r="N11" s="66"/>
    </row>
    <row r="12" spans="1:19" ht="19.5" customHeight="1" x14ac:dyDescent="0.25">
      <c r="A12" s="71" t="s">
        <v>49</v>
      </c>
      <c r="B12" s="71"/>
      <c r="C12" s="71"/>
      <c r="D12" s="71"/>
      <c r="E12" s="71"/>
      <c r="F12" s="71"/>
      <c r="G12" s="71"/>
      <c r="K12" s="10" t="s">
        <v>50</v>
      </c>
      <c r="L12" s="10" t="s">
        <v>29</v>
      </c>
      <c r="M12" s="10" t="s">
        <v>51</v>
      </c>
    </row>
    <row r="13" spans="1:19" ht="32.25" customHeight="1" x14ac:dyDescent="0.25">
      <c r="A13" s="71"/>
      <c r="B13" s="71"/>
      <c r="C13" s="71"/>
      <c r="D13" s="71"/>
      <c r="E13" s="71"/>
      <c r="F13" s="71"/>
      <c r="G13" s="71"/>
      <c r="K13" s="10" t="s">
        <v>81</v>
      </c>
      <c r="L13" s="10" t="s">
        <v>82</v>
      </c>
      <c r="M13" s="10" t="s">
        <v>83</v>
      </c>
    </row>
    <row r="14" spans="1:19" ht="30.75" customHeight="1" x14ac:dyDescent="0.25">
      <c r="A14" s="19" t="s">
        <v>50</v>
      </c>
      <c r="B14" s="19" t="s">
        <v>29</v>
      </c>
      <c r="C14" s="20" t="s">
        <v>51</v>
      </c>
      <c r="D14" s="63" t="s">
        <v>61</v>
      </c>
      <c r="E14" s="63"/>
      <c r="F14" s="63"/>
    </row>
    <row r="15" spans="1:19" x14ac:dyDescent="0.25">
      <c r="A15" s="21" t="s">
        <v>52</v>
      </c>
      <c r="B15" s="21" t="s">
        <v>57</v>
      </c>
      <c r="C15" s="21" t="s">
        <v>59</v>
      </c>
      <c r="D15" s="64"/>
      <c r="E15" s="63"/>
      <c r="F15" s="63"/>
      <c r="G15" s="63"/>
      <c r="H15" s="63"/>
      <c r="I15" s="63"/>
      <c r="J15" s="63"/>
    </row>
    <row r="16" spans="1:19" ht="25.5" customHeight="1" x14ac:dyDescent="0.25">
      <c r="A16" s="21" t="s">
        <v>53</v>
      </c>
      <c r="B16" s="21" t="s">
        <v>58</v>
      </c>
      <c r="C16" s="21" t="s">
        <v>60</v>
      </c>
      <c r="D16" s="64"/>
      <c r="E16" s="63"/>
      <c r="F16" s="63"/>
      <c r="G16" s="63"/>
      <c r="H16" s="63"/>
      <c r="I16" s="63"/>
      <c r="J16" s="63"/>
    </row>
    <row r="17" spans="1:3" ht="28.5" customHeight="1" x14ac:dyDescent="0.25">
      <c r="A17" s="21" t="s">
        <v>54</v>
      </c>
      <c r="B17" s="21" t="s">
        <v>55</v>
      </c>
      <c r="C17" s="21" t="s">
        <v>56</v>
      </c>
    </row>
  </sheetData>
  <mergeCells count="10">
    <mergeCell ref="D14:F14"/>
    <mergeCell ref="D15:J16"/>
    <mergeCell ref="J2:S2"/>
    <mergeCell ref="K10:N11"/>
    <mergeCell ref="A1:K1"/>
    <mergeCell ref="A2:E2"/>
    <mergeCell ref="A10:C11"/>
    <mergeCell ref="A12:G13"/>
    <mergeCell ref="D3:F3"/>
    <mergeCell ref="D5:I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22800-3B0F-4C45-A165-32FAA47F41CE}">
  <dimension ref="A4:T18"/>
  <sheetViews>
    <sheetView showGridLines="0" workbookViewId="0">
      <selection activeCell="B17" sqref="B17"/>
    </sheetView>
  </sheetViews>
  <sheetFormatPr defaultRowHeight="15" x14ac:dyDescent="0.25"/>
  <cols>
    <col min="1" max="1" width="19" bestFit="1" customWidth="1"/>
    <col min="2" max="2" width="16.28515625" bestFit="1" customWidth="1"/>
    <col min="3" max="3" width="8.85546875" bestFit="1" customWidth="1"/>
    <col min="4" max="8" width="6.85546875" bestFit="1" customWidth="1"/>
    <col min="9" max="9" width="7.140625" bestFit="1" customWidth="1"/>
    <col min="10" max="10" width="10.85546875" bestFit="1" customWidth="1"/>
    <col min="11" max="11" width="8.42578125" bestFit="1" customWidth="1"/>
    <col min="12" max="12" width="11.140625" bestFit="1" customWidth="1"/>
    <col min="13" max="13" width="19" bestFit="1" customWidth="1"/>
    <col min="14" max="14" width="13.140625" bestFit="1" customWidth="1"/>
    <col min="15" max="16" width="19" bestFit="1" customWidth="1"/>
    <col min="17" max="17" width="16.28515625" bestFit="1" customWidth="1"/>
    <col min="18" max="18" width="13.140625" bestFit="1" customWidth="1"/>
    <col min="19" max="20" width="22.5703125" bestFit="1" customWidth="1"/>
    <col min="21" max="23" width="16.28515625" bestFit="1" customWidth="1"/>
    <col min="24" max="25" width="11.140625" bestFit="1" customWidth="1"/>
  </cols>
  <sheetData>
    <row r="4" spans="1:20" ht="409.5" customHeight="1" x14ac:dyDescent="0.25"/>
    <row r="5" spans="1:20" x14ac:dyDescent="0.25">
      <c r="A5" s="32" t="s">
        <v>117</v>
      </c>
      <c r="B5" s="32" t="s">
        <v>118</v>
      </c>
    </row>
    <row r="6" spans="1:20" x14ac:dyDescent="0.25">
      <c r="A6" s="32" t="s">
        <v>115</v>
      </c>
      <c r="B6" t="s">
        <v>96</v>
      </c>
      <c r="C6" t="s">
        <v>97</v>
      </c>
      <c r="D6" t="s">
        <v>98</v>
      </c>
      <c r="E6" t="s">
        <v>99</v>
      </c>
      <c r="F6" t="s">
        <v>100</v>
      </c>
      <c r="G6" t="s">
        <v>101</v>
      </c>
      <c r="H6" t="s">
        <v>102</v>
      </c>
      <c r="I6" t="s">
        <v>103</v>
      </c>
      <c r="J6" t="s">
        <v>104</v>
      </c>
      <c r="K6" t="s">
        <v>105</v>
      </c>
      <c r="L6" t="s">
        <v>116</v>
      </c>
    </row>
    <row r="7" spans="1:20" x14ac:dyDescent="0.25">
      <c r="A7" s="31" t="s">
        <v>90</v>
      </c>
      <c r="B7" s="28">
        <v>200</v>
      </c>
      <c r="C7" s="28"/>
      <c r="D7" s="28"/>
      <c r="E7" s="28"/>
      <c r="F7" s="28"/>
      <c r="G7" s="28"/>
      <c r="H7" s="28"/>
      <c r="I7" s="28"/>
      <c r="J7" s="28"/>
      <c r="K7" s="28"/>
      <c r="L7" s="28">
        <v>200</v>
      </c>
      <c r="N7" s="32" t="s">
        <v>115</v>
      </c>
      <c r="O7" t="s">
        <v>119</v>
      </c>
      <c r="P7" t="s">
        <v>117</v>
      </c>
      <c r="R7" s="32" t="s">
        <v>115</v>
      </c>
      <c r="S7" t="s">
        <v>120</v>
      </c>
      <c r="T7" t="s">
        <v>121</v>
      </c>
    </row>
    <row r="8" spans="1:20" x14ac:dyDescent="0.25">
      <c r="A8" s="31" t="s">
        <v>4</v>
      </c>
      <c r="B8" s="28"/>
      <c r="C8" s="28"/>
      <c r="D8" s="28"/>
      <c r="E8" s="28"/>
      <c r="F8" s="28"/>
      <c r="G8" s="28"/>
      <c r="H8" s="28">
        <v>800</v>
      </c>
      <c r="I8" s="28"/>
      <c r="J8" s="28"/>
      <c r="K8" s="28"/>
      <c r="L8" s="28">
        <v>800</v>
      </c>
      <c r="N8" s="31" t="s">
        <v>96</v>
      </c>
      <c r="O8" s="28">
        <v>10000</v>
      </c>
      <c r="P8" s="28">
        <v>200</v>
      </c>
      <c r="R8" s="31" t="s">
        <v>109</v>
      </c>
      <c r="S8" s="28">
        <v>7000</v>
      </c>
      <c r="T8" s="28">
        <v>500</v>
      </c>
    </row>
    <row r="9" spans="1:20" x14ac:dyDescent="0.25">
      <c r="A9" s="31" t="s">
        <v>0</v>
      </c>
      <c r="B9" s="28"/>
      <c r="C9" s="28"/>
      <c r="D9" s="28"/>
      <c r="E9" s="28"/>
      <c r="F9" s="28"/>
      <c r="G9" s="28"/>
      <c r="H9" s="28"/>
      <c r="I9" s="28"/>
      <c r="J9" s="28">
        <v>1000</v>
      </c>
      <c r="K9" s="28"/>
      <c r="L9" s="28">
        <v>1000</v>
      </c>
      <c r="N9" s="31" t="s">
        <v>97</v>
      </c>
      <c r="O9" s="28">
        <v>9000</v>
      </c>
      <c r="P9" s="28">
        <v>300</v>
      </c>
      <c r="R9" s="31" t="s">
        <v>106</v>
      </c>
      <c r="S9" s="28">
        <v>6500</v>
      </c>
      <c r="T9" s="28">
        <v>550</v>
      </c>
    </row>
    <row r="10" spans="1:20" x14ac:dyDescent="0.25">
      <c r="A10" s="31" t="s">
        <v>92</v>
      </c>
      <c r="B10" s="28"/>
      <c r="C10" s="28"/>
      <c r="D10" s="28"/>
      <c r="E10" s="28">
        <v>500</v>
      </c>
      <c r="F10" s="28"/>
      <c r="G10" s="28"/>
      <c r="H10" s="28"/>
      <c r="I10" s="28"/>
      <c r="J10" s="28"/>
      <c r="K10" s="28"/>
      <c r="L10" s="28">
        <v>500</v>
      </c>
      <c r="N10" s="31" t="s">
        <v>98</v>
      </c>
      <c r="O10" s="28">
        <v>8000</v>
      </c>
      <c r="P10" s="28">
        <v>400</v>
      </c>
      <c r="R10" s="31" t="s">
        <v>110</v>
      </c>
      <c r="S10" s="28">
        <v>6000</v>
      </c>
      <c r="T10" s="28">
        <v>600</v>
      </c>
    </row>
    <row r="11" spans="1:20" x14ac:dyDescent="0.25">
      <c r="A11" s="31" t="s">
        <v>95</v>
      </c>
      <c r="B11" s="28"/>
      <c r="C11" s="28"/>
      <c r="D11" s="28"/>
      <c r="E11" s="28"/>
      <c r="F11" s="28"/>
      <c r="G11" s="28"/>
      <c r="H11" s="28"/>
      <c r="I11" s="28"/>
      <c r="J11" s="28"/>
      <c r="K11" s="28">
        <v>1100</v>
      </c>
      <c r="L11" s="28">
        <v>1100</v>
      </c>
      <c r="N11" s="31" t="s">
        <v>99</v>
      </c>
      <c r="O11" s="28">
        <v>7000</v>
      </c>
      <c r="P11" s="28">
        <v>500</v>
      </c>
      <c r="R11" s="31" t="s">
        <v>107</v>
      </c>
      <c r="S11" s="28">
        <v>5500</v>
      </c>
      <c r="T11" s="28">
        <v>650</v>
      </c>
    </row>
    <row r="12" spans="1:20" x14ac:dyDescent="0.25">
      <c r="A12" s="31" t="s">
        <v>93</v>
      </c>
      <c r="B12" s="28"/>
      <c r="C12" s="28"/>
      <c r="D12" s="28"/>
      <c r="E12" s="28"/>
      <c r="F12" s="28">
        <v>600</v>
      </c>
      <c r="G12" s="28"/>
      <c r="H12" s="28"/>
      <c r="I12" s="28"/>
      <c r="J12" s="28"/>
      <c r="K12" s="28"/>
      <c r="L12" s="28">
        <v>600</v>
      </c>
      <c r="N12" s="31" t="s">
        <v>100</v>
      </c>
      <c r="O12" s="28">
        <v>6000</v>
      </c>
      <c r="P12" s="28">
        <v>600</v>
      </c>
      <c r="R12" s="31" t="s">
        <v>111</v>
      </c>
      <c r="S12" s="28">
        <v>5000</v>
      </c>
      <c r="T12" s="28">
        <v>700</v>
      </c>
    </row>
    <row r="13" spans="1:20" x14ac:dyDescent="0.25">
      <c r="A13" s="31" t="s">
        <v>91</v>
      </c>
      <c r="B13" s="28"/>
      <c r="C13" s="28"/>
      <c r="D13" s="28">
        <v>400</v>
      </c>
      <c r="E13" s="28"/>
      <c r="F13" s="28"/>
      <c r="G13" s="28"/>
      <c r="H13" s="28"/>
      <c r="I13" s="28"/>
      <c r="J13" s="28"/>
      <c r="K13" s="28"/>
      <c r="L13" s="28">
        <v>400</v>
      </c>
      <c r="N13" s="31" t="s">
        <v>101</v>
      </c>
      <c r="O13" s="28">
        <v>5000</v>
      </c>
      <c r="P13" s="28">
        <v>700</v>
      </c>
      <c r="R13" s="31" t="s">
        <v>108</v>
      </c>
      <c r="S13" s="28">
        <v>4500</v>
      </c>
      <c r="T13" s="28">
        <v>750</v>
      </c>
    </row>
    <row r="14" spans="1:20" x14ac:dyDescent="0.25">
      <c r="A14" s="31" t="s">
        <v>25</v>
      </c>
      <c r="B14" s="28"/>
      <c r="C14" s="28">
        <v>300</v>
      </c>
      <c r="D14" s="28"/>
      <c r="E14" s="28"/>
      <c r="F14" s="28"/>
      <c r="G14" s="28"/>
      <c r="H14" s="28"/>
      <c r="I14" s="28"/>
      <c r="J14" s="28"/>
      <c r="K14" s="28"/>
      <c r="L14" s="28">
        <v>300</v>
      </c>
      <c r="N14" s="31" t="s">
        <v>102</v>
      </c>
      <c r="O14" s="28">
        <v>4000</v>
      </c>
      <c r="P14" s="28">
        <v>800</v>
      </c>
      <c r="R14" s="31" t="s">
        <v>112</v>
      </c>
      <c r="S14" s="28">
        <v>4000</v>
      </c>
      <c r="T14" s="28">
        <v>800</v>
      </c>
    </row>
    <row r="15" spans="1:20" x14ac:dyDescent="0.25">
      <c r="A15" s="31" t="s">
        <v>94</v>
      </c>
      <c r="B15" s="28"/>
      <c r="C15" s="28"/>
      <c r="D15" s="28"/>
      <c r="E15" s="28"/>
      <c r="F15" s="28"/>
      <c r="G15" s="28">
        <v>700</v>
      </c>
      <c r="H15" s="28"/>
      <c r="I15" s="28"/>
      <c r="J15" s="28"/>
      <c r="K15" s="28"/>
      <c r="L15" s="28">
        <v>700</v>
      </c>
      <c r="N15" s="31" t="s">
        <v>103</v>
      </c>
      <c r="O15" s="28">
        <v>3000</v>
      </c>
      <c r="P15" s="28">
        <v>900</v>
      </c>
      <c r="R15" s="31" t="s">
        <v>116</v>
      </c>
      <c r="S15" s="28">
        <v>5500</v>
      </c>
      <c r="T15" s="28">
        <v>650</v>
      </c>
    </row>
    <row r="16" spans="1:20" x14ac:dyDescent="0.25">
      <c r="A16" s="31" t="s">
        <v>1</v>
      </c>
      <c r="B16" s="28"/>
      <c r="C16" s="28"/>
      <c r="D16" s="28"/>
      <c r="E16" s="28"/>
      <c r="F16" s="28"/>
      <c r="G16" s="28"/>
      <c r="H16" s="28"/>
      <c r="I16" s="28">
        <v>900</v>
      </c>
      <c r="J16" s="28"/>
      <c r="K16" s="28"/>
      <c r="L16" s="28">
        <v>900</v>
      </c>
      <c r="N16" s="31" t="s">
        <v>104</v>
      </c>
      <c r="O16" s="28">
        <v>2000</v>
      </c>
      <c r="P16" s="28">
        <v>1000</v>
      </c>
    </row>
    <row r="17" spans="1:16" x14ac:dyDescent="0.25">
      <c r="A17" s="31" t="s">
        <v>116</v>
      </c>
      <c r="B17" s="28">
        <v>200</v>
      </c>
      <c r="C17" s="28">
        <v>300</v>
      </c>
      <c r="D17" s="28">
        <v>400</v>
      </c>
      <c r="E17" s="28">
        <v>500</v>
      </c>
      <c r="F17" s="28">
        <v>600</v>
      </c>
      <c r="G17" s="28">
        <v>700</v>
      </c>
      <c r="H17" s="28">
        <v>800</v>
      </c>
      <c r="I17" s="28">
        <v>900</v>
      </c>
      <c r="J17" s="28">
        <v>1000</v>
      </c>
      <c r="K17" s="28">
        <v>1100</v>
      </c>
      <c r="L17" s="28">
        <v>6500</v>
      </c>
      <c r="N17" s="31" t="s">
        <v>105</v>
      </c>
      <c r="O17" s="28">
        <v>1000</v>
      </c>
      <c r="P17" s="28">
        <v>1100</v>
      </c>
    </row>
    <row r="18" spans="1:16" x14ac:dyDescent="0.25">
      <c r="N18" s="31" t="s">
        <v>116</v>
      </c>
      <c r="O18" s="28">
        <v>55000</v>
      </c>
      <c r="P18" s="28">
        <v>6500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C6866-977A-42D2-ABFD-4C3EDDC4DD6F}">
  <dimension ref="A1:R52"/>
  <sheetViews>
    <sheetView topLeftCell="A21" workbookViewId="0">
      <selection activeCell="J52" sqref="J52"/>
    </sheetView>
  </sheetViews>
  <sheetFormatPr defaultRowHeight="15" x14ac:dyDescent="0.25"/>
  <cols>
    <col min="1" max="1" width="8.7109375" bestFit="1" customWidth="1"/>
    <col min="2" max="2" width="13.140625" bestFit="1" customWidth="1"/>
    <col min="3" max="4" width="19" bestFit="1" customWidth="1"/>
    <col min="5" max="5" width="13.140625" bestFit="1" customWidth="1"/>
    <col min="6" max="6" width="19" bestFit="1" customWidth="1"/>
    <col min="7" max="7" width="17.85546875" bestFit="1" customWidth="1"/>
    <col min="8" max="8" width="19.140625" bestFit="1" customWidth="1"/>
    <col min="9" max="9" width="13.140625" bestFit="1" customWidth="1"/>
    <col min="10" max="10" width="19" bestFit="1" customWidth="1"/>
    <col min="11" max="11" width="17.42578125" customWidth="1"/>
    <col min="12" max="12" width="13.85546875" customWidth="1"/>
    <col min="14" max="14" width="11" bestFit="1" customWidth="1"/>
    <col min="15" max="15" width="10.85546875" bestFit="1" customWidth="1"/>
    <col min="16" max="16" width="13.5703125" bestFit="1" customWidth="1"/>
    <col min="17" max="17" width="11.42578125" bestFit="1" customWidth="1"/>
    <col min="18" max="18" width="9.7109375" bestFit="1" customWidth="1"/>
    <col min="19" max="19" width="13.5703125" bestFit="1" customWidth="1"/>
    <col min="20" max="20" width="18.28515625" bestFit="1" customWidth="1"/>
    <col min="21" max="21" width="19.28515625" bestFit="1" customWidth="1"/>
    <col min="23" max="23" width="10" bestFit="1" customWidth="1"/>
  </cols>
  <sheetData>
    <row r="1" spans="1:18" ht="20.25" x14ac:dyDescent="0.3">
      <c r="A1" s="24" t="s">
        <v>3</v>
      </c>
      <c r="B1" s="24" t="s">
        <v>84</v>
      </c>
      <c r="C1" s="24" t="s">
        <v>85</v>
      </c>
      <c r="D1" s="24" t="s">
        <v>86</v>
      </c>
      <c r="E1" s="24" t="s">
        <v>87</v>
      </c>
      <c r="F1" s="25" t="s">
        <v>88</v>
      </c>
      <c r="G1" s="25" t="s">
        <v>89</v>
      </c>
      <c r="H1" s="26" t="s">
        <v>113</v>
      </c>
    </row>
    <row r="2" spans="1:18" x14ac:dyDescent="0.25">
      <c r="A2" s="2">
        <v>1</v>
      </c>
      <c r="B2" s="2" t="s">
        <v>90</v>
      </c>
      <c r="C2" s="2" t="s">
        <v>96</v>
      </c>
      <c r="D2" s="2">
        <v>9388</v>
      </c>
      <c r="E2" s="23" t="s">
        <v>106</v>
      </c>
      <c r="F2" s="27">
        <v>200</v>
      </c>
      <c r="G2" s="27">
        <v>10000</v>
      </c>
      <c r="H2" s="30"/>
    </row>
    <row r="3" spans="1:18" x14ac:dyDescent="0.25">
      <c r="A3" s="2">
        <v>2</v>
      </c>
      <c r="B3" s="2" t="s">
        <v>25</v>
      </c>
      <c r="C3" s="2" t="s">
        <v>97</v>
      </c>
      <c r="D3" s="2">
        <v>8374</v>
      </c>
      <c r="E3" s="23" t="s">
        <v>107</v>
      </c>
      <c r="F3" s="27">
        <v>300</v>
      </c>
      <c r="G3" s="27">
        <v>9000</v>
      </c>
      <c r="H3" s="22" t="str">
        <f t="shared" ref="H3:H11" si="0">IF(G3&gt;=4000,"yes","No")</f>
        <v>yes</v>
      </c>
    </row>
    <row r="4" spans="1:18" x14ac:dyDescent="0.25">
      <c r="A4" s="2">
        <v>3</v>
      </c>
      <c r="B4" s="2" t="s">
        <v>91</v>
      </c>
      <c r="C4" s="2" t="s">
        <v>98</v>
      </c>
      <c r="D4" s="2">
        <v>8748</v>
      </c>
      <c r="E4" s="23" t="s">
        <v>108</v>
      </c>
      <c r="F4" s="27">
        <v>400</v>
      </c>
      <c r="G4" s="27">
        <v>8000</v>
      </c>
      <c r="H4" s="22" t="str">
        <f t="shared" si="0"/>
        <v>yes</v>
      </c>
    </row>
    <row r="5" spans="1:18" x14ac:dyDescent="0.25">
      <c r="A5" s="2">
        <v>4</v>
      </c>
      <c r="B5" s="2" t="s">
        <v>92</v>
      </c>
      <c r="C5" s="2" t="s">
        <v>99</v>
      </c>
      <c r="D5" s="2">
        <v>8950</v>
      </c>
      <c r="E5" s="23" t="s">
        <v>109</v>
      </c>
      <c r="F5" s="27">
        <v>500</v>
      </c>
      <c r="G5" s="27">
        <v>7000</v>
      </c>
      <c r="H5" s="22" t="str">
        <f t="shared" si="0"/>
        <v>yes</v>
      </c>
    </row>
    <row r="6" spans="1:18" ht="20.25" x14ac:dyDescent="0.3">
      <c r="A6" s="2">
        <v>5</v>
      </c>
      <c r="B6" s="2" t="s">
        <v>93</v>
      </c>
      <c r="C6" s="2" t="s">
        <v>100</v>
      </c>
      <c r="D6" s="2">
        <v>5437</v>
      </c>
      <c r="E6" s="23" t="s">
        <v>110</v>
      </c>
      <c r="F6" s="27">
        <v>600</v>
      </c>
      <c r="G6" s="27">
        <v>6000</v>
      </c>
      <c r="H6" s="22" t="str">
        <f t="shared" si="0"/>
        <v>yes</v>
      </c>
      <c r="K6" s="24" t="s">
        <v>3</v>
      </c>
      <c r="L6" s="24" t="s">
        <v>84</v>
      </c>
      <c r="M6" s="24" t="s">
        <v>85</v>
      </c>
      <c r="N6" s="24" t="s">
        <v>86</v>
      </c>
      <c r="O6" s="24" t="s">
        <v>87</v>
      </c>
      <c r="P6" s="25" t="s">
        <v>88</v>
      </c>
      <c r="Q6" s="25" t="s">
        <v>89</v>
      </c>
      <c r="R6" s="26" t="s">
        <v>113</v>
      </c>
    </row>
    <row r="7" spans="1:18" x14ac:dyDescent="0.25">
      <c r="A7" s="2">
        <v>6</v>
      </c>
      <c r="B7" s="2" t="s">
        <v>94</v>
      </c>
      <c r="C7" s="2" t="s">
        <v>101</v>
      </c>
      <c r="D7" s="2">
        <v>8738</v>
      </c>
      <c r="E7" s="23" t="s">
        <v>111</v>
      </c>
      <c r="F7" s="27">
        <v>700</v>
      </c>
      <c r="G7" s="27">
        <v>5000</v>
      </c>
      <c r="H7" s="22" t="str">
        <f t="shared" si="0"/>
        <v>yes</v>
      </c>
      <c r="K7">
        <v>5</v>
      </c>
      <c r="L7" t="str">
        <f>VLOOKUP($K$7,$A$1:$H$11,MATCH(L6,$K$6:$R$6,0),0)</f>
        <v>Shakib</v>
      </c>
      <c r="M7" t="str">
        <f t="shared" ref="M7:R7" si="1">VLOOKUP($K$7,$A$1:$H$11,MATCH(M6,$K$6:$R$6,0),0)</f>
        <v>May</v>
      </c>
      <c r="N7">
        <f t="shared" si="1"/>
        <v>5437</v>
      </c>
      <c r="O7" t="str">
        <f t="shared" si="1"/>
        <v>Wednesday</v>
      </c>
      <c r="P7">
        <f t="shared" si="1"/>
        <v>600</v>
      </c>
      <c r="Q7">
        <f t="shared" si="1"/>
        <v>6000</v>
      </c>
      <c r="R7" t="str">
        <f t="shared" si="1"/>
        <v>yes</v>
      </c>
    </row>
    <row r="8" spans="1:18" x14ac:dyDescent="0.25">
      <c r="A8" s="2">
        <v>7</v>
      </c>
      <c r="B8" s="2" t="s">
        <v>4</v>
      </c>
      <c r="C8" s="2" t="s">
        <v>102</v>
      </c>
      <c r="D8" s="2">
        <v>9375</v>
      </c>
      <c r="E8" s="23" t="s">
        <v>112</v>
      </c>
      <c r="F8" s="27">
        <v>800</v>
      </c>
      <c r="G8" s="27">
        <v>4000</v>
      </c>
      <c r="H8" s="22" t="str">
        <f t="shared" si="0"/>
        <v>yes</v>
      </c>
    </row>
    <row r="9" spans="1:18" x14ac:dyDescent="0.25">
      <c r="A9" s="2">
        <v>8</v>
      </c>
      <c r="B9" s="2" t="s">
        <v>1</v>
      </c>
      <c r="C9" s="2" t="s">
        <v>103</v>
      </c>
      <c r="D9" s="2">
        <v>8374</v>
      </c>
      <c r="E9" s="23" t="s">
        <v>106</v>
      </c>
      <c r="F9" s="27">
        <v>900</v>
      </c>
      <c r="G9" s="27">
        <v>3000</v>
      </c>
      <c r="H9" s="22" t="str">
        <f t="shared" si="0"/>
        <v>No</v>
      </c>
    </row>
    <row r="10" spans="1:18" x14ac:dyDescent="0.25">
      <c r="A10" s="2">
        <v>9</v>
      </c>
      <c r="B10" s="2" t="s">
        <v>0</v>
      </c>
      <c r="C10" s="2" t="s">
        <v>104</v>
      </c>
      <c r="D10" s="2">
        <v>7635</v>
      </c>
      <c r="E10" s="23" t="s">
        <v>107</v>
      </c>
      <c r="F10" s="27">
        <v>1000</v>
      </c>
      <c r="G10" s="27">
        <v>2000</v>
      </c>
      <c r="H10" s="22" t="str">
        <f t="shared" si="0"/>
        <v>No</v>
      </c>
    </row>
    <row r="11" spans="1:18" x14ac:dyDescent="0.25">
      <c r="A11" s="2">
        <v>10</v>
      </c>
      <c r="B11" s="2" t="s">
        <v>95</v>
      </c>
      <c r="C11" s="2" t="s">
        <v>105</v>
      </c>
      <c r="D11" s="2">
        <v>6354</v>
      </c>
      <c r="E11" s="23" t="s">
        <v>108</v>
      </c>
      <c r="F11" s="27">
        <v>1100</v>
      </c>
      <c r="G11" s="27">
        <v>1000</v>
      </c>
      <c r="H11" s="22" t="str">
        <f t="shared" si="0"/>
        <v>No</v>
      </c>
    </row>
    <row r="12" spans="1:18" x14ac:dyDescent="0.25">
      <c r="G12" s="28"/>
    </row>
    <row r="14" spans="1:18" ht="20.25" x14ac:dyDescent="0.3">
      <c r="K14" s="24" t="s">
        <v>3</v>
      </c>
      <c r="L14">
        <v>5</v>
      </c>
    </row>
    <row r="15" spans="1:18" ht="20.25" x14ac:dyDescent="0.3">
      <c r="I15" s="29"/>
      <c r="K15" s="24" t="s">
        <v>84</v>
      </c>
      <c r="L15" t="str">
        <f>INDEX($A$1:$H$11,MATCH($L$14,$A$1:$A$11,0),MATCH(K15,$A$1:$H$1,0))</f>
        <v>Shakib</v>
      </c>
    </row>
    <row r="16" spans="1:18" ht="20.25" x14ac:dyDescent="0.3">
      <c r="I16" s="29"/>
      <c r="K16" s="24" t="s">
        <v>85</v>
      </c>
      <c r="L16" t="str">
        <f t="shared" ref="L16:L21" si="2">INDEX($A$1:$H$11,MATCH($L$14,$A$1:$A$11,0),MATCH(K16,$A$1:$H$1,0))</f>
        <v>May</v>
      </c>
    </row>
    <row r="17" spans="1:12" ht="20.25" x14ac:dyDescent="0.3">
      <c r="A17" s="24" t="s">
        <v>3</v>
      </c>
      <c r="B17" s="24" t="s">
        <v>84</v>
      </c>
      <c r="C17" s="24" t="s">
        <v>85</v>
      </c>
      <c r="D17" s="24" t="s">
        <v>86</v>
      </c>
      <c r="E17" s="24" t="s">
        <v>87</v>
      </c>
      <c r="F17" s="25" t="s">
        <v>88</v>
      </c>
      <c r="G17" s="25" t="s">
        <v>89</v>
      </c>
      <c r="H17" s="26" t="s">
        <v>113</v>
      </c>
      <c r="K17" s="24" t="s">
        <v>86</v>
      </c>
      <c r="L17">
        <f t="shared" si="2"/>
        <v>5437</v>
      </c>
    </row>
    <row r="18" spans="1:12" ht="20.25" x14ac:dyDescent="0.3">
      <c r="A18" s="2">
        <v>1</v>
      </c>
      <c r="B18" t="str">
        <f t="shared" ref="B18:H18" si="3">VLOOKUP(A18,A1:H11,2,0)</f>
        <v>Abu Bakker</v>
      </c>
      <c r="C18" t="str">
        <f t="shared" si="3"/>
        <v>January</v>
      </c>
      <c r="D18">
        <f t="shared" si="3"/>
        <v>9388</v>
      </c>
      <c r="E18" t="str">
        <f t="shared" si="3"/>
        <v>Saturday</v>
      </c>
      <c r="F18">
        <f t="shared" si="3"/>
        <v>200</v>
      </c>
      <c r="G18">
        <f t="shared" si="3"/>
        <v>10000</v>
      </c>
      <c r="H18">
        <f t="shared" si="3"/>
        <v>0</v>
      </c>
      <c r="K18" s="24" t="s">
        <v>87</v>
      </c>
      <c r="L18" t="str">
        <f t="shared" si="2"/>
        <v>Wednesday</v>
      </c>
    </row>
    <row r="19" spans="1:12" ht="20.25" x14ac:dyDescent="0.3">
      <c r="A19" s="2">
        <v>2</v>
      </c>
      <c r="B19" t="str">
        <f t="shared" ref="B19:B27" si="4">VLOOKUP(A19,A2:H12,2,0)</f>
        <v>Siddik</v>
      </c>
      <c r="C19" t="str">
        <f t="shared" ref="C19:C27" si="5">VLOOKUP(B19,B2:I12,2,0)</f>
        <v>February</v>
      </c>
      <c r="D19">
        <f t="shared" ref="D19:D27" si="6">VLOOKUP(C19,C2:J12,2,0)</f>
        <v>8374</v>
      </c>
      <c r="E19" t="str">
        <f t="shared" ref="E19:E27" si="7">VLOOKUP(D19,D2:K12,2,0)</f>
        <v>Sunday</v>
      </c>
      <c r="F19">
        <f t="shared" ref="F19:F27" si="8">VLOOKUP(E19,E2:L12,2,0)</f>
        <v>300</v>
      </c>
      <c r="G19">
        <f t="shared" ref="G19:G27" si="9">VLOOKUP(F19,F2:M12,2,0)</f>
        <v>9000</v>
      </c>
      <c r="H19" t="str">
        <f t="shared" ref="H19:H27" si="10">VLOOKUP(G19,G2:N12,2,0)</f>
        <v>yes</v>
      </c>
      <c r="K19" s="25" t="s">
        <v>88</v>
      </c>
      <c r="L19">
        <f t="shared" si="2"/>
        <v>600</v>
      </c>
    </row>
    <row r="20" spans="1:12" ht="20.25" x14ac:dyDescent="0.3">
      <c r="A20" s="2">
        <v>3</v>
      </c>
      <c r="B20" t="str">
        <f t="shared" si="4"/>
        <v>Shoan</v>
      </c>
      <c r="C20" t="str">
        <f t="shared" si="5"/>
        <v>March</v>
      </c>
      <c r="D20">
        <f t="shared" si="6"/>
        <v>8748</v>
      </c>
      <c r="E20" t="str">
        <f t="shared" si="7"/>
        <v>Monday</v>
      </c>
      <c r="F20">
        <f t="shared" si="8"/>
        <v>400</v>
      </c>
      <c r="G20">
        <f t="shared" si="9"/>
        <v>8000</v>
      </c>
      <c r="H20" t="str">
        <f t="shared" si="10"/>
        <v>yes</v>
      </c>
      <c r="K20" s="25" t="s">
        <v>89</v>
      </c>
      <c r="L20">
        <f t="shared" si="2"/>
        <v>6000</v>
      </c>
    </row>
    <row r="21" spans="1:12" ht="20.25" x14ac:dyDescent="0.3">
      <c r="A21" s="2">
        <v>4</v>
      </c>
      <c r="B21" t="str">
        <f t="shared" si="4"/>
        <v>Rana</v>
      </c>
      <c r="C21" t="str">
        <f t="shared" si="5"/>
        <v>April</v>
      </c>
      <c r="D21">
        <f t="shared" si="6"/>
        <v>8950</v>
      </c>
      <c r="E21" t="str">
        <f t="shared" si="7"/>
        <v>Tuesday</v>
      </c>
      <c r="F21">
        <f t="shared" si="8"/>
        <v>500</v>
      </c>
      <c r="G21">
        <f t="shared" si="9"/>
        <v>7000</v>
      </c>
      <c r="H21" t="str">
        <f t="shared" si="10"/>
        <v>yes</v>
      </c>
      <c r="K21" s="26" t="s">
        <v>113</v>
      </c>
      <c r="L21" t="str">
        <f t="shared" si="2"/>
        <v>yes</v>
      </c>
    </row>
    <row r="22" spans="1:12" x14ac:dyDescent="0.25">
      <c r="A22" s="2">
        <v>5</v>
      </c>
      <c r="B22" t="str">
        <f t="shared" si="4"/>
        <v>Shakib</v>
      </c>
      <c r="C22" t="str">
        <f t="shared" si="5"/>
        <v>May</v>
      </c>
      <c r="D22">
        <f t="shared" si="6"/>
        <v>5437</v>
      </c>
      <c r="E22" t="str">
        <f t="shared" si="7"/>
        <v>Wednesday</v>
      </c>
      <c r="F22">
        <f t="shared" si="8"/>
        <v>600</v>
      </c>
      <c r="G22">
        <f t="shared" si="9"/>
        <v>6000</v>
      </c>
      <c r="H22" t="str">
        <f t="shared" si="10"/>
        <v>yes</v>
      </c>
    </row>
    <row r="23" spans="1:12" x14ac:dyDescent="0.25">
      <c r="A23" s="2">
        <v>6</v>
      </c>
      <c r="B23" t="str">
        <f t="shared" si="4"/>
        <v>Somun</v>
      </c>
      <c r="C23" t="str">
        <f t="shared" si="5"/>
        <v>June</v>
      </c>
      <c r="D23">
        <f t="shared" si="6"/>
        <v>8738</v>
      </c>
      <c r="E23" t="str">
        <f t="shared" si="7"/>
        <v>Thursday</v>
      </c>
      <c r="F23">
        <f t="shared" si="8"/>
        <v>700</v>
      </c>
      <c r="G23">
        <f t="shared" si="9"/>
        <v>5000</v>
      </c>
      <c r="H23" t="str">
        <f t="shared" si="10"/>
        <v>yes</v>
      </c>
    </row>
    <row r="24" spans="1:12" x14ac:dyDescent="0.25">
      <c r="A24" s="2">
        <v>7</v>
      </c>
      <c r="B24" t="str">
        <f t="shared" si="4"/>
        <v>Arafat</v>
      </c>
      <c r="C24" t="str">
        <f t="shared" si="5"/>
        <v>July</v>
      </c>
      <c r="D24">
        <f t="shared" si="6"/>
        <v>9375</v>
      </c>
      <c r="E24" t="str">
        <f t="shared" si="7"/>
        <v>Friday</v>
      </c>
      <c r="F24">
        <f t="shared" si="8"/>
        <v>800</v>
      </c>
      <c r="G24">
        <f t="shared" si="9"/>
        <v>4000</v>
      </c>
      <c r="H24" t="str">
        <f t="shared" si="10"/>
        <v>yes</v>
      </c>
    </row>
    <row r="25" spans="1:12" x14ac:dyDescent="0.25">
      <c r="A25" s="2">
        <v>8</v>
      </c>
      <c r="B25" t="str">
        <f t="shared" si="4"/>
        <v>Tamim</v>
      </c>
      <c r="C25" t="str">
        <f t="shared" si="5"/>
        <v>August</v>
      </c>
      <c r="D25">
        <f t="shared" si="6"/>
        <v>8374</v>
      </c>
      <c r="E25" t="str">
        <f t="shared" si="7"/>
        <v>Saturday</v>
      </c>
      <c r="F25">
        <f t="shared" si="8"/>
        <v>900</v>
      </c>
      <c r="G25">
        <f t="shared" si="9"/>
        <v>3000</v>
      </c>
      <c r="H25" t="str">
        <f t="shared" si="10"/>
        <v>No</v>
      </c>
    </row>
    <row r="26" spans="1:12" x14ac:dyDescent="0.25">
      <c r="A26" s="2">
        <v>9</v>
      </c>
      <c r="B26" t="str">
        <f t="shared" si="4"/>
        <v>Rakib</v>
      </c>
      <c r="C26" t="str">
        <f t="shared" si="5"/>
        <v>September</v>
      </c>
      <c r="D26">
        <f t="shared" si="6"/>
        <v>7635</v>
      </c>
      <c r="E26" t="str">
        <f t="shared" si="7"/>
        <v>Sunday</v>
      </c>
      <c r="F26">
        <f t="shared" si="8"/>
        <v>1000</v>
      </c>
      <c r="G26">
        <f t="shared" si="9"/>
        <v>2000</v>
      </c>
      <c r="H26" t="str">
        <f t="shared" si="10"/>
        <v>No</v>
      </c>
    </row>
    <row r="27" spans="1:12" x14ac:dyDescent="0.25">
      <c r="A27" s="2">
        <v>10</v>
      </c>
      <c r="B27" t="str">
        <f t="shared" si="4"/>
        <v>Rohan</v>
      </c>
      <c r="C27" t="str">
        <f t="shared" si="5"/>
        <v>October</v>
      </c>
      <c r="D27">
        <f t="shared" si="6"/>
        <v>6354</v>
      </c>
      <c r="E27" t="str">
        <f t="shared" si="7"/>
        <v>Monday</v>
      </c>
      <c r="F27">
        <f t="shared" si="8"/>
        <v>1100</v>
      </c>
      <c r="G27">
        <f t="shared" si="9"/>
        <v>1000</v>
      </c>
      <c r="H27" t="str">
        <f t="shared" si="10"/>
        <v>No</v>
      </c>
    </row>
    <row r="29" spans="1:12" x14ac:dyDescent="0.25">
      <c r="I29" s="32" t="s">
        <v>115</v>
      </c>
      <c r="J29" t="s">
        <v>119</v>
      </c>
    </row>
    <row r="30" spans="1:12" x14ac:dyDescent="0.25">
      <c r="I30" s="31" t="s">
        <v>90</v>
      </c>
      <c r="J30" s="28">
        <v>10000</v>
      </c>
    </row>
    <row r="31" spans="1:12" x14ac:dyDescent="0.25">
      <c r="E31" s="32" t="s">
        <v>115</v>
      </c>
      <c r="F31" t="s">
        <v>119</v>
      </c>
      <c r="I31" s="31" t="s">
        <v>4</v>
      </c>
      <c r="J31" s="28">
        <v>4000</v>
      </c>
    </row>
    <row r="32" spans="1:12" x14ac:dyDescent="0.25">
      <c r="E32" s="31" t="s">
        <v>90</v>
      </c>
      <c r="F32" s="28">
        <v>10000</v>
      </c>
      <c r="I32" s="31" t="s">
        <v>0</v>
      </c>
      <c r="J32" s="28">
        <v>2000</v>
      </c>
    </row>
    <row r="33" spans="2:10" x14ac:dyDescent="0.25">
      <c r="E33" s="38">
        <v>0</v>
      </c>
      <c r="F33" s="28">
        <v>10000</v>
      </c>
      <c r="I33" s="31" t="s">
        <v>92</v>
      </c>
      <c r="J33" s="28">
        <v>7000</v>
      </c>
    </row>
    <row r="34" spans="2:10" x14ac:dyDescent="0.25">
      <c r="E34" s="31" t="s">
        <v>4</v>
      </c>
      <c r="F34" s="28">
        <v>4000</v>
      </c>
      <c r="I34" s="31" t="s">
        <v>95</v>
      </c>
      <c r="J34" s="28">
        <v>1000</v>
      </c>
    </row>
    <row r="35" spans="2:10" x14ac:dyDescent="0.25">
      <c r="B35" s="32" t="s">
        <v>115</v>
      </c>
      <c r="C35" t="s">
        <v>117</v>
      </c>
      <c r="D35" t="s">
        <v>119</v>
      </c>
      <c r="E35" s="38" t="s">
        <v>1797</v>
      </c>
      <c r="F35" s="28">
        <v>4000</v>
      </c>
      <c r="I35" s="31" t="s">
        <v>93</v>
      </c>
      <c r="J35" s="28">
        <v>6000</v>
      </c>
    </row>
    <row r="36" spans="2:10" x14ac:dyDescent="0.25">
      <c r="B36" s="31" t="s">
        <v>96</v>
      </c>
      <c r="C36" s="28">
        <v>200</v>
      </c>
      <c r="D36" s="28">
        <v>10000</v>
      </c>
      <c r="E36" s="31" t="s">
        <v>0</v>
      </c>
      <c r="F36" s="28">
        <v>2000</v>
      </c>
      <c r="I36" s="31" t="s">
        <v>91</v>
      </c>
      <c r="J36" s="28">
        <v>8000</v>
      </c>
    </row>
    <row r="37" spans="2:10" x14ac:dyDescent="0.25">
      <c r="B37" s="31" t="s">
        <v>97</v>
      </c>
      <c r="C37" s="28">
        <v>300</v>
      </c>
      <c r="D37" s="28">
        <v>9000</v>
      </c>
      <c r="E37" s="38" t="s">
        <v>1798</v>
      </c>
      <c r="F37" s="28">
        <v>2000</v>
      </c>
      <c r="I37" s="31" t="s">
        <v>25</v>
      </c>
      <c r="J37" s="28">
        <v>9000</v>
      </c>
    </row>
    <row r="38" spans="2:10" x14ac:dyDescent="0.25">
      <c r="B38" s="31" t="s">
        <v>98</v>
      </c>
      <c r="C38" s="28">
        <v>400</v>
      </c>
      <c r="D38" s="28">
        <v>8000</v>
      </c>
      <c r="E38" s="31" t="s">
        <v>92</v>
      </c>
      <c r="F38" s="28">
        <v>7000</v>
      </c>
      <c r="I38" s="31" t="s">
        <v>94</v>
      </c>
      <c r="J38" s="28">
        <v>5000</v>
      </c>
    </row>
    <row r="39" spans="2:10" x14ac:dyDescent="0.25">
      <c r="B39" s="31" t="s">
        <v>99</v>
      </c>
      <c r="C39" s="28">
        <v>500</v>
      </c>
      <c r="D39" s="28">
        <v>7000</v>
      </c>
      <c r="E39" s="38" t="s">
        <v>1797</v>
      </c>
      <c r="F39" s="28">
        <v>7000</v>
      </c>
      <c r="I39" s="31" t="s">
        <v>1</v>
      </c>
      <c r="J39" s="28">
        <v>3000</v>
      </c>
    </row>
    <row r="40" spans="2:10" x14ac:dyDescent="0.25">
      <c r="B40" s="31" t="s">
        <v>100</v>
      </c>
      <c r="C40" s="28">
        <v>600</v>
      </c>
      <c r="D40" s="28">
        <v>6000</v>
      </c>
      <c r="E40" s="31" t="s">
        <v>95</v>
      </c>
      <c r="F40" s="28">
        <v>1000</v>
      </c>
      <c r="I40" s="31" t="s">
        <v>116</v>
      </c>
      <c r="J40" s="28">
        <v>55000</v>
      </c>
    </row>
    <row r="41" spans="2:10" x14ac:dyDescent="0.25">
      <c r="B41" s="31" t="s">
        <v>101</v>
      </c>
      <c r="C41" s="28">
        <v>700</v>
      </c>
      <c r="D41" s="28">
        <v>5000</v>
      </c>
      <c r="E41" s="38" t="s">
        <v>1798</v>
      </c>
      <c r="F41" s="28">
        <v>1000</v>
      </c>
    </row>
    <row r="42" spans="2:10" x14ac:dyDescent="0.25">
      <c r="B42" s="31" t="s">
        <v>102</v>
      </c>
      <c r="C42" s="28">
        <v>800</v>
      </c>
      <c r="D42" s="28">
        <v>4000</v>
      </c>
      <c r="E42" s="31" t="s">
        <v>93</v>
      </c>
      <c r="F42" s="28">
        <v>6000</v>
      </c>
    </row>
    <row r="43" spans="2:10" x14ac:dyDescent="0.25">
      <c r="B43" s="31" t="s">
        <v>103</v>
      </c>
      <c r="C43" s="28">
        <v>900</v>
      </c>
      <c r="D43" s="28">
        <v>3000</v>
      </c>
      <c r="E43" s="38" t="s">
        <v>1797</v>
      </c>
      <c r="F43" s="28">
        <v>6000</v>
      </c>
    </row>
    <row r="44" spans="2:10" x14ac:dyDescent="0.25">
      <c r="B44" s="31" t="s">
        <v>104</v>
      </c>
      <c r="C44" s="28">
        <v>1000</v>
      </c>
      <c r="D44" s="28">
        <v>2000</v>
      </c>
      <c r="E44" s="31" t="s">
        <v>91</v>
      </c>
      <c r="F44" s="28">
        <v>8000</v>
      </c>
    </row>
    <row r="45" spans="2:10" x14ac:dyDescent="0.25">
      <c r="B45" s="31" t="s">
        <v>105</v>
      </c>
      <c r="C45" s="28">
        <v>1100</v>
      </c>
      <c r="D45" s="28">
        <v>1000</v>
      </c>
      <c r="E45" s="38" t="s">
        <v>1797</v>
      </c>
      <c r="F45" s="28">
        <v>8000</v>
      </c>
    </row>
    <row r="46" spans="2:10" x14ac:dyDescent="0.25">
      <c r="B46" s="31" t="s">
        <v>116</v>
      </c>
      <c r="C46" s="28">
        <v>6500</v>
      </c>
      <c r="D46" s="28">
        <v>55000</v>
      </c>
      <c r="E46" s="31" t="s">
        <v>25</v>
      </c>
      <c r="F46" s="28">
        <v>9000</v>
      </c>
    </row>
    <row r="47" spans="2:10" x14ac:dyDescent="0.25">
      <c r="E47" s="38" t="s">
        <v>1797</v>
      </c>
      <c r="F47" s="28">
        <v>9000</v>
      </c>
    </row>
    <row r="48" spans="2:10" x14ac:dyDescent="0.25">
      <c r="E48" s="31" t="s">
        <v>94</v>
      </c>
      <c r="F48" s="28">
        <v>5000</v>
      </c>
    </row>
    <row r="49" spans="5:6" x14ac:dyDescent="0.25">
      <c r="E49" s="38" t="s">
        <v>1797</v>
      </c>
      <c r="F49" s="28">
        <v>5000</v>
      </c>
    </row>
    <row r="50" spans="5:6" x14ac:dyDescent="0.25">
      <c r="E50" s="31" t="s">
        <v>1</v>
      </c>
      <c r="F50" s="28">
        <v>3000</v>
      </c>
    </row>
    <row r="51" spans="5:6" x14ac:dyDescent="0.25">
      <c r="E51" s="38" t="s">
        <v>1798</v>
      </c>
      <c r="F51" s="28">
        <v>3000</v>
      </c>
    </row>
    <row r="52" spans="5:6" x14ac:dyDescent="0.25">
      <c r="E52" s="31" t="s">
        <v>116</v>
      </c>
      <c r="F52" s="28">
        <v>55000</v>
      </c>
    </row>
  </sheetData>
  <autoFilter ref="A1:H11" xr:uid="{975C6866-977A-42D2-ABFD-4C3EDDC4DD6F}"/>
  <phoneticPr fontId="2" type="noConversion"/>
  <conditionalFormatting sqref="G2:G11">
    <cfRule type="cellIs" dxfId="4" priority="9" operator="greaterThan">
      <formula>3999</formula>
    </cfRule>
  </conditionalFormatting>
  <conditionalFormatting sqref="H2:H11">
    <cfRule type="cellIs" dxfId="3" priority="5" operator="equal">
      <formula>"yes"</formula>
    </cfRule>
    <cfRule type="cellIs" dxfId="2" priority="6" operator="greaterThan">
      <formula>"yes"</formula>
    </cfRule>
    <cfRule type="cellIs" dxfId="1" priority="7" operator="greaterThan">
      <formula>"yes"</formula>
    </cfRule>
    <cfRule type="cellIs" dxfId="0" priority="8" operator="greaterThan">
      <formula>"yes"</formula>
    </cfRule>
  </conditionalFormatting>
  <dataValidations count="1">
    <dataValidation type="list" allowBlank="1" showInputMessage="1" showErrorMessage="1" sqref="K7 L14" xr:uid="{AECC9D16-1701-443D-9F11-AE8FEA1D29D8}">
      <formula1>$A$2:$A$11</formula1>
    </dataValidation>
  </dataValidations>
  <pageMargins left="1" right="1" top="1" bottom="1" header="0.5" footer="0.5"/>
  <pageSetup paperSize="8" fitToWidth="0"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A248C-0EF4-4E3B-94A1-36D15C6F0FDA}">
  <dimension ref="A1:T31"/>
  <sheetViews>
    <sheetView workbookViewId="0">
      <selection activeCell="G22" sqref="G22"/>
    </sheetView>
  </sheetViews>
  <sheetFormatPr defaultRowHeight="15" x14ac:dyDescent="0.25"/>
  <cols>
    <col min="1" max="1" width="15.7109375" bestFit="1" customWidth="1"/>
    <col min="2" max="2" width="11.140625" bestFit="1" customWidth="1"/>
    <col min="3" max="3" width="13.140625" bestFit="1" customWidth="1"/>
    <col min="4" max="4" width="12" bestFit="1" customWidth="1"/>
    <col min="6" max="6" width="10.85546875" bestFit="1" customWidth="1"/>
    <col min="8" max="8" width="13.140625" bestFit="1" customWidth="1"/>
    <col min="9" max="9" width="16.140625" bestFit="1" customWidth="1"/>
    <col min="10" max="10" width="12" bestFit="1" customWidth="1"/>
    <col min="12" max="12" width="13.140625" bestFit="1" customWidth="1"/>
    <col min="13" max="13" width="16.140625" bestFit="1" customWidth="1"/>
    <col min="14" max="14" width="12" bestFit="1" customWidth="1"/>
    <col min="16" max="16" width="11.140625" bestFit="1" customWidth="1"/>
    <col min="20" max="20" width="14.42578125" bestFit="1" customWidth="1"/>
  </cols>
  <sheetData>
    <row r="1" spans="1:20" x14ac:dyDescent="0.25">
      <c r="A1" s="51" t="s">
        <v>1738</v>
      </c>
      <c r="B1" s="51" t="s">
        <v>1821</v>
      </c>
      <c r="C1" s="51" t="s">
        <v>1822</v>
      </c>
      <c r="D1" s="51" t="s">
        <v>1823</v>
      </c>
      <c r="E1" s="51" t="s">
        <v>1824</v>
      </c>
      <c r="F1" s="51" t="s">
        <v>1747</v>
      </c>
      <c r="G1" s="51" t="s">
        <v>1825</v>
      </c>
      <c r="I1" s="51" t="s">
        <v>1739</v>
      </c>
      <c r="J1" s="51" t="s">
        <v>1826</v>
      </c>
      <c r="M1" s="52" t="s">
        <v>1827</v>
      </c>
      <c r="N1" s="52" t="s">
        <v>1828</v>
      </c>
      <c r="P1" s="52" t="s">
        <v>1821</v>
      </c>
      <c r="Q1" s="52" t="s">
        <v>1829</v>
      </c>
      <c r="S1" s="52" t="s">
        <v>1834</v>
      </c>
      <c r="T1" s="52" t="s">
        <v>1835</v>
      </c>
    </row>
    <row r="2" spans="1:20" x14ac:dyDescent="0.25">
      <c r="A2" s="22" t="s">
        <v>1764</v>
      </c>
      <c r="B2" s="22" t="s">
        <v>1799</v>
      </c>
      <c r="C2" s="22" t="s">
        <v>1800</v>
      </c>
      <c r="D2" s="22" t="s">
        <v>265</v>
      </c>
      <c r="E2" s="22">
        <v>75000</v>
      </c>
      <c r="F2" s="34">
        <v>45296</v>
      </c>
      <c r="G2" s="22">
        <v>2</v>
      </c>
      <c r="H2">
        <f>E2*G2</f>
        <v>150000</v>
      </c>
      <c r="I2" s="22" t="s">
        <v>1807</v>
      </c>
      <c r="J2" s="22">
        <v>7</v>
      </c>
      <c r="M2" s="22" t="s">
        <v>1764</v>
      </c>
      <c r="N2" s="22">
        <v>78500</v>
      </c>
      <c r="P2" s="22" t="s">
        <v>1799</v>
      </c>
      <c r="Q2" s="22">
        <v>414500</v>
      </c>
      <c r="S2" s="22" t="s">
        <v>1830</v>
      </c>
      <c r="T2" s="22">
        <v>84000</v>
      </c>
    </row>
    <row r="3" spans="1:20" x14ac:dyDescent="0.25">
      <c r="A3" s="22" t="s">
        <v>1764</v>
      </c>
      <c r="B3" s="22" t="s">
        <v>1799</v>
      </c>
      <c r="C3" s="22" t="s">
        <v>1801</v>
      </c>
      <c r="D3" s="22" t="s">
        <v>265</v>
      </c>
      <c r="E3" s="22">
        <v>3500</v>
      </c>
      <c r="F3" s="34">
        <v>45296</v>
      </c>
      <c r="G3" s="22">
        <v>1</v>
      </c>
      <c r="H3">
        <f t="shared" ref="H3:H21" si="0">E3*G3</f>
        <v>3500</v>
      </c>
      <c r="I3" s="22" t="s">
        <v>1805</v>
      </c>
      <c r="J3" s="22">
        <v>6</v>
      </c>
      <c r="M3" s="22" t="s">
        <v>1772</v>
      </c>
      <c r="N3" s="22">
        <v>75000</v>
      </c>
      <c r="P3" s="22" t="s">
        <v>1817</v>
      </c>
      <c r="Q3" s="22">
        <v>120000</v>
      </c>
      <c r="S3" s="22" t="s">
        <v>1831</v>
      </c>
      <c r="T3" s="22">
        <v>357000</v>
      </c>
    </row>
    <row r="4" spans="1:20" x14ac:dyDescent="0.25">
      <c r="A4" s="22" t="s">
        <v>1766</v>
      </c>
      <c r="B4" s="22" t="s">
        <v>1799</v>
      </c>
      <c r="C4" s="22" t="s">
        <v>1802</v>
      </c>
      <c r="D4" s="22" t="s">
        <v>265</v>
      </c>
      <c r="E4" s="22">
        <v>45000</v>
      </c>
      <c r="F4" s="34">
        <v>45299</v>
      </c>
      <c r="G4" s="22">
        <v>4</v>
      </c>
      <c r="H4">
        <f t="shared" si="0"/>
        <v>180000</v>
      </c>
      <c r="I4" s="22" t="s">
        <v>1802</v>
      </c>
      <c r="J4" s="22">
        <v>6</v>
      </c>
      <c r="M4" s="22" t="s">
        <v>1816</v>
      </c>
      <c r="N4" s="22">
        <v>65000</v>
      </c>
      <c r="P4" s="22" t="s">
        <v>1814</v>
      </c>
      <c r="Q4" s="22">
        <v>24000</v>
      </c>
      <c r="S4" s="22" t="s">
        <v>1832</v>
      </c>
      <c r="T4" s="22">
        <v>418500</v>
      </c>
    </row>
    <row r="5" spans="1:20" x14ac:dyDescent="0.25">
      <c r="A5" s="22" t="s">
        <v>1766</v>
      </c>
      <c r="B5" s="22" t="s">
        <v>1799</v>
      </c>
      <c r="C5" s="22" t="s">
        <v>1803</v>
      </c>
      <c r="D5" s="22" t="s">
        <v>265</v>
      </c>
      <c r="E5" s="22">
        <v>8000</v>
      </c>
      <c r="F5" s="34">
        <v>45299</v>
      </c>
      <c r="G5" s="22">
        <v>2</v>
      </c>
      <c r="H5">
        <f t="shared" si="0"/>
        <v>16000</v>
      </c>
      <c r="I5" s="22" t="s">
        <v>1801</v>
      </c>
      <c r="J5" s="22">
        <v>5</v>
      </c>
      <c r="M5" s="22" t="s">
        <v>114</v>
      </c>
      <c r="N5" s="22">
        <v>65000</v>
      </c>
      <c r="P5" s="22" t="s">
        <v>1820</v>
      </c>
      <c r="Q5" s="22">
        <v>7000</v>
      </c>
      <c r="S5" s="22" t="s">
        <v>1833</v>
      </c>
      <c r="T5" s="22">
        <v>709000</v>
      </c>
    </row>
    <row r="6" spans="1:20" x14ac:dyDescent="0.25">
      <c r="A6" s="22" t="s">
        <v>1767</v>
      </c>
      <c r="B6" s="22" t="s">
        <v>1799</v>
      </c>
      <c r="C6" s="22" t="s">
        <v>1804</v>
      </c>
      <c r="D6" s="22" t="s">
        <v>265</v>
      </c>
      <c r="E6" s="22">
        <v>12000</v>
      </c>
      <c r="F6" s="34">
        <v>45303</v>
      </c>
      <c r="G6" s="22">
        <v>1</v>
      </c>
      <c r="H6">
        <f t="shared" si="0"/>
        <v>12000</v>
      </c>
      <c r="I6" s="22" t="s">
        <v>1808</v>
      </c>
      <c r="J6" s="22">
        <v>5</v>
      </c>
      <c r="M6" s="22" t="s">
        <v>1818</v>
      </c>
      <c r="N6" s="22">
        <v>55000</v>
      </c>
      <c r="P6" s="22" t="s">
        <v>1810</v>
      </c>
      <c r="Q6" s="22">
        <v>23500</v>
      </c>
    </row>
    <row r="7" spans="1:20" x14ac:dyDescent="0.25">
      <c r="A7" s="22" t="s">
        <v>1757</v>
      </c>
      <c r="B7" s="22" t="s">
        <v>1799</v>
      </c>
      <c r="C7" s="22" t="s">
        <v>1805</v>
      </c>
      <c r="D7" s="22" t="s">
        <v>255</v>
      </c>
      <c r="E7" s="22">
        <v>9000</v>
      </c>
      <c r="F7" s="34">
        <v>45306</v>
      </c>
      <c r="G7" s="22">
        <v>3</v>
      </c>
      <c r="H7">
        <f t="shared" si="0"/>
        <v>27000</v>
      </c>
    </row>
    <row r="8" spans="1:20" x14ac:dyDescent="0.25">
      <c r="A8" s="22" t="s">
        <v>93</v>
      </c>
      <c r="B8" s="22" t="s">
        <v>1799</v>
      </c>
      <c r="C8" s="22" t="s">
        <v>1806</v>
      </c>
      <c r="D8" s="22" t="s">
        <v>255</v>
      </c>
      <c r="E8" s="22">
        <v>15000</v>
      </c>
      <c r="F8" s="34">
        <v>45309</v>
      </c>
      <c r="G8" s="22">
        <v>2</v>
      </c>
      <c r="H8">
        <f t="shared" si="0"/>
        <v>30000</v>
      </c>
    </row>
    <row r="9" spans="1:20" x14ac:dyDescent="0.25">
      <c r="A9" s="22" t="s">
        <v>114</v>
      </c>
      <c r="B9" s="22" t="s">
        <v>1799</v>
      </c>
      <c r="C9" s="22" t="s">
        <v>1807</v>
      </c>
      <c r="D9" s="22" t="s">
        <v>255</v>
      </c>
      <c r="E9" s="22">
        <v>65000</v>
      </c>
      <c r="F9" s="34">
        <v>45324</v>
      </c>
      <c r="G9" s="22">
        <v>5</v>
      </c>
      <c r="H9">
        <f t="shared" si="0"/>
        <v>325000</v>
      </c>
    </row>
    <row r="10" spans="1:20" x14ac:dyDescent="0.25">
      <c r="A10" s="22" t="s">
        <v>92</v>
      </c>
      <c r="B10" s="22" t="s">
        <v>1799</v>
      </c>
      <c r="C10" s="22" t="s">
        <v>1808</v>
      </c>
      <c r="D10" s="22" t="s">
        <v>255</v>
      </c>
      <c r="E10" s="22">
        <v>55000</v>
      </c>
      <c r="F10" s="34">
        <v>45328</v>
      </c>
      <c r="G10" s="22">
        <v>1</v>
      </c>
      <c r="H10">
        <f t="shared" si="0"/>
        <v>55000</v>
      </c>
    </row>
    <row r="11" spans="1:20" x14ac:dyDescent="0.25">
      <c r="A11" s="22" t="s">
        <v>1774</v>
      </c>
      <c r="B11" s="22" t="s">
        <v>1799</v>
      </c>
      <c r="C11" s="22" t="s">
        <v>1809</v>
      </c>
      <c r="D11" s="22" t="s">
        <v>255</v>
      </c>
      <c r="E11" s="22">
        <v>7000</v>
      </c>
      <c r="F11" s="34">
        <v>45332</v>
      </c>
      <c r="G11" s="22">
        <v>2</v>
      </c>
      <c r="H11">
        <f t="shared" si="0"/>
        <v>14000</v>
      </c>
    </row>
    <row r="12" spans="1:20" x14ac:dyDescent="0.25">
      <c r="A12" s="22" t="s">
        <v>1772</v>
      </c>
      <c r="B12" s="22" t="s">
        <v>1799</v>
      </c>
      <c r="C12" s="22" t="s">
        <v>1800</v>
      </c>
      <c r="D12" s="22" t="s">
        <v>265</v>
      </c>
      <c r="E12" s="22">
        <v>75000</v>
      </c>
      <c r="F12" s="34">
        <v>45336</v>
      </c>
      <c r="G12" s="22">
        <v>3</v>
      </c>
      <c r="H12">
        <f t="shared" si="0"/>
        <v>225000</v>
      </c>
    </row>
    <row r="13" spans="1:20" x14ac:dyDescent="0.25">
      <c r="A13" s="22" t="s">
        <v>1770</v>
      </c>
      <c r="B13" s="22" t="s">
        <v>1799</v>
      </c>
      <c r="C13" s="22" t="s">
        <v>1802</v>
      </c>
      <c r="D13" s="22" t="s">
        <v>265</v>
      </c>
      <c r="E13" s="22">
        <v>45000</v>
      </c>
      <c r="F13" s="34">
        <v>45340</v>
      </c>
      <c r="G13" s="22">
        <v>2</v>
      </c>
      <c r="H13">
        <f t="shared" si="0"/>
        <v>90000</v>
      </c>
    </row>
    <row r="14" spans="1:20" x14ac:dyDescent="0.25">
      <c r="A14" s="22" t="s">
        <v>4</v>
      </c>
      <c r="B14" s="22" t="s">
        <v>1810</v>
      </c>
      <c r="C14" s="22" t="s">
        <v>1801</v>
      </c>
      <c r="D14" s="22" t="s">
        <v>265</v>
      </c>
      <c r="E14" s="22">
        <v>3500</v>
      </c>
      <c r="F14" s="34">
        <v>45354</v>
      </c>
      <c r="G14" s="22">
        <v>4</v>
      </c>
      <c r="H14">
        <f t="shared" si="0"/>
        <v>14000</v>
      </c>
    </row>
    <row r="15" spans="1:20" x14ac:dyDescent="0.25">
      <c r="A15" s="22" t="s">
        <v>1811</v>
      </c>
      <c r="B15" s="22" t="s">
        <v>1810</v>
      </c>
      <c r="C15" s="22" t="s">
        <v>1804</v>
      </c>
      <c r="D15" s="22" t="s">
        <v>265</v>
      </c>
      <c r="E15" s="22">
        <v>12000</v>
      </c>
      <c r="F15" s="34">
        <v>45358</v>
      </c>
      <c r="G15" s="22">
        <v>1</v>
      </c>
      <c r="H15">
        <f t="shared" si="0"/>
        <v>12000</v>
      </c>
      <c r="I15" s="32" t="s">
        <v>115</v>
      </c>
      <c r="J15" t="s">
        <v>1837</v>
      </c>
      <c r="L15" s="32" t="s">
        <v>115</v>
      </c>
      <c r="M15" t="s">
        <v>1836</v>
      </c>
      <c r="N15" t="s">
        <v>1837</v>
      </c>
    </row>
    <row r="16" spans="1:20" x14ac:dyDescent="0.25">
      <c r="A16" s="22" t="s">
        <v>1812</v>
      </c>
      <c r="B16" s="22" t="s">
        <v>1810</v>
      </c>
      <c r="C16" s="22" t="s">
        <v>1803</v>
      </c>
      <c r="D16" s="22" t="s">
        <v>265</v>
      </c>
      <c r="E16" s="22">
        <v>8000</v>
      </c>
      <c r="F16" s="34">
        <v>45363</v>
      </c>
      <c r="G16" s="22">
        <v>2</v>
      </c>
      <c r="H16">
        <f t="shared" si="0"/>
        <v>16000</v>
      </c>
      <c r="I16" s="31" t="s">
        <v>1799</v>
      </c>
      <c r="J16">
        <v>414500</v>
      </c>
      <c r="L16" s="31" t="s">
        <v>144</v>
      </c>
      <c r="M16">
        <v>15</v>
      </c>
      <c r="N16">
        <v>167500</v>
      </c>
    </row>
    <row r="17" spans="1:14" x14ac:dyDescent="0.25">
      <c r="A17" s="22" t="s">
        <v>1813</v>
      </c>
      <c r="B17" s="22" t="s">
        <v>1814</v>
      </c>
      <c r="C17" s="22" t="s">
        <v>1805</v>
      </c>
      <c r="D17" s="22" t="s">
        <v>255</v>
      </c>
      <c r="E17" s="22">
        <v>9000</v>
      </c>
      <c r="F17" s="34">
        <v>45367</v>
      </c>
      <c r="G17" s="22">
        <v>3</v>
      </c>
      <c r="H17">
        <f t="shared" si="0"/>
        <v>27000</v>
      </c>
      <c r="I17" s="31" t="s">
        <v>1820</v>
      </c>
      <c r="J17">
        <v>7000</v>
      </c>
      <c r="L17" s="31" t="s">
        <v>145</v>
      </c>
      <c r="M17">
        <v>13</v>
      </c>
      <c r="N17">
        <v>247000</v>
      </c>
    </row>
    <row r="18" spans="1:14" x14ac:dyDescent="0.25">
      <c r="A18" s="22" t="s">
        <v>1815</v>
      </c>
      <c r="B18" s="22" t="s">
        <v>1814</v>
      </c>
      <c r="C18" s="22" t="s">
        <v>1806</v>
      </c>
      <c r="D18" s="22" t="s">
        <v>255</v>
      </c>
      <c r="E18" s="22">
        <v>15000</v>
      </c>
      <c r="F18" s="34">
        <v>45371</v>
      </c>
      <c r="G18" s="22">
        <v>1</v>
      </c>
      <c r="H18">
        <f t="shared" si="0"/>
        <v>15000</v>
      </c>
      <c r="I18" s="31" t="s">
        <v>1810</v>
      </c>
      <c r="J18">
        <v>23500</v>
      </c>
      <c r="L18" s="31" t="s">
        <v>146</v>
      </c>
      <c r="M18">
        <v>11</v>
      </c>
      <c r="N18">
        <v>47500</v>
      </c>
    </row>
    <row r="19" spans="1:14" x14ac:dyDescent="0.25">
      <c r="A19" s="22" t="s">
        <v>1816</v>
      </c>
      <c r="B19" s="22" t="s">
        <v>1817</v>
      </c>
      <c r="C19" s="22" t="s">
        <v>1807</v>
      </c>
      <c r="D19" s="22" t="s">
        <v>255</v>
      </c>
      <c r="E19" s="22">
        <v>65000</v>
      </c>
      <c r="F19" s="34">
        <v>45386</v>
      </c>
      <c r="G19" s="22">
        <v>2</v>
      </c>
      <c r="H19">
        <f t="shared" si="0"/>
        <v>130000</v>
      </c>
      <c r="I19" s="31" t="s">
        <v>1817</v>
      </c>
      <c r="J19">
        <v>120000</v>
      </c>
      <c r="L19" s="31" t="s">
        <v>147</v>
      </c>
      <c r="M19">
        <v>7</v>
      </c>
      <c r="N19">
        <v>127000</v>
      </c>
    </row>
    <row r="20" spans="1:14" x14ac:dyDescent="0.25">
      <c r="A20" s="22" t="s">
        <v>1818</v>
      </c>
      <c r="B20" s="22" t="s">
        <v>1817</v>
      </c>
      <c r="C20" s="22" t="s">
        <v>1808</v>
      </c>
      <c r="D20" s="22" t="s">
        <v>255</v>
      </c>
      <c r="E20" s="22">
        <v>55000</v>
      </c>
      <c r="F20" s="34">
        <v>45390</v>
      </c>
      <c r="G20" s="22">
        <v>4</v>
      </c>
      <c r="H20">
        <f t="shared" si="0"/>
        <v>220000</v>
      </c>
      <c r="I20" s="31" t="s">
        <v>1814</v>
      </c>
      <c r="J20">
        <v>24000</v>
      </c>
      <c r="L20" s="31" t="s">
        <v>116</v>
      </c>
      <c r="M20">
        <v>46</v>
      </c>
      <c r="N20">
        <v>589000</v>
      </c>
    </row>
    <row r="21" spans="1:14" x14ac:dyDescent="0.25">
      <c r="A21" s="22" t="s">
        <v>1819</v>
      </c>
      <c r="B21" s="22" t="s">
        <v>1820</v>
      </c>
      <c r="C21" s="22" t="s">
        <v>1809</v>
      </c>
      <c r="D21" s="22" t="s">
        <v>255</v>
      </c>
      <c r="E21" s="22">
        <v>7000</v>
      </c>
      <c r="F21" s="34">
        <v>45394</v>
      </c>
      <c r="G21" s="22">
        <v>1</v>
      </c>
      <c r="H21">
        <f t="shared" si="0"/>
        <v>7000</v>
      </c>
      <c r="I21" s="31" t="s">
        <v>116</v>
      </c>
      <c r="J21">
        <v>589000</v>
      </c>
    </row>
    <row r="22" spans="1:14" x14ac:dyDescent="0.25">
      <c r="E22">
        <f>SUM(E2:E21)</f>
        <v>589000</v>
      </c>
      <c r="G22">
        <f>SUM(G2:G21)</f>
        <v>46</v>
      </c>
      <c r="H22">
        <f>SUM(H2:H21)</f>
        <v>1568500</v>
      </c>
    </row>
    <row r="23" spans="1:14" x14ac:dyDescent="0.25">
      <c r="C23" s="32" t="s">
        <v>115</v>
      </c>
      <c r="D23" t="s">
        <v>1837</v>
      </c>
    </row>
    <row r="24" spans="1:14" x14ac:dyDescent="0.25">
      <c r="C24" s="31" t="s">
        <v>1764</v>
      </c>
      <c r="D24">
        <v>78500</v>
      </c>
    </row>
    <row r="25" spans="1:14" x14ac:dyDescent="0.25">
      <c r="C25" s="31" t="s">
        <v>1772</v>
      </c>
      <c r="D25">
        <v>75000</v>
      </c>
      <c r="H25" s="32" t="s">
        <v>115</v>
      </c>
      <c r="I25" t="s">
        <v>1836</v>
      </c>
    </row>
    <row r="26" spans="1:14" x14ac:dyDescent="0.25">
      <c r="C26" s="31" t="s">
        <v>114</v>
      </c>
      <c r="D26">
        <v>65000</v>
      </c>
      <c r="H26" s="31" t="s">
        <v>1807</v>
      </c>
      <c r="I26">
        <v>7</v>
      </c>
    </row>
    <row r="27" spans="1:14" x14ac:dyDescent="0.25">
      <c r="C27" s="31" t="s">
        <v>1816</v>
      </c>
      <c r="D27">
        <v>65000</v>
      </c>
      <c r="H27" s="31" t="s">
        <v>1802</v>
      </c>
      <c r="I27">
        <v>6</v>
      </c>
    </row>
    <row r="28" spans="1:14" x14ac:dyDescent="0.25">
      <c r="C28" s="31" t="s">
        <v>1818</v>
      </c>
      <c r="D28">
        <v>55000</v>
      </c>
      <c r="H28" s="31" t="s">
        <v>1805</v>
      </c>
      <c r="I28">
        <v>6</v>
      </c>
    </row>
    <row r="29" spans="1:14" x14ac:dyDescent="0.25">
      <c r="C29" s="31" t="s">
        <v>116</v>
      </c>
      <c r="D29">
        <v>338500</v>
      </c>
      <c r="H29" s="31" t="s">
        <v>1808</v>
      </c>
      <c r="I29">
        <v>5</v>
      </c>
    </row>
    <row r="30" spans="1:14" x14ac:dyDescent="0.25">
      <c r="H30" s="31" t="s">
        <v>1801</v>
      </c>
      <c r="I30">
        <v>5</v>
      </c>
    </row>
    <row r="31" spans="1:14" x14ac:dyDescent="0.25">
      <c r="H31" s="31" t="s">
        <v>116</v>
      </c>
      <c r="I31">
        <v>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22B7F-9883-4EE1-ADA0-8C8341AB4D4A}">
  <dimension ref="A1"/>
  <sheetViews>
    <sheetView showGridLines="0" workbookViewId="0">
      <selection activeCell="O25" sqref="O25"/>
    </sheetView>
  </sheetViews>
  <sheetFormatPr defaultRowHeight="15" x14ac:dyDescent="0.25"/>
  <cols>
    <col min="1" max="16384" width="9.140625" style="5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DBB1-6A4A-4501-AC9E-72CA7BD1DC7B}">
  <dimension ref="A1"/>
  <sheetViews>
    <sheetView showGridLines="0" topLeftCell="B1" workbookViewId="0">
      <selection activeCell="W29" sqref="W29"/>
    </sheetView>
  </sheetViews>
  <sheetFormatPr defaultRowHeight="15" x14ac:dyDescent="0.25"/>
  <cols>
    <col min="1" max="16384" width="9.140625" style="3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9ECA8-AA57-47E8-A80A-63F95EF7554E}">
  <dimension ref="A1"/>
  <sheetViews>
    <sheetView showGridLines="0" topLeftCell="A2" zoomScaleNormal="100" workbookViewId="0">
      <selection activeCell="X41" sqref="X41"/>
    </sheetView>
  </sheetViews>
  <sheetFormatPr defaultRowHeight="15" x14ac:dyDescent="0.25"/>
  <cols>
    <col min="1" max="1" width="16.85546875" style="33" bestFit="1" customWidth="1"/>
    <col min="2" max="2" width="12" style="33" bestFit="1" customWidth="1"/>
    <col min="3" max="3" width="13.5703125" style="33" bestFit="1" customWidth="1"/>
    <col min="4" max="16384" width="9.140625" style="3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0472B-ECF3-47A7-91C4-61B429DCA768}">
  <dimension ref="A1"/>
  <sheetViews>
    <sheetView showGridLines="0" workbookViewId="0">
      <selection activeCell="L41" sqref="L41"/>
    </sheetView>
  </sheetViews>
  <sheetFormatPr defaultRowHeight="15" x14ac:dyDescent="0.25"/>
  <cols>
    <col min="1" max="16384" width="9.140625" style="3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A37C1-612E-4D63-B3D4-D80CE3E653B8}">
  <dimension ref="A1:F16"/>
  <sheetViews>
    <sheetView workbookViewId="0">
      <selection activeCell="K2" sqref="K2:P13"/>
    </sheetView>
  </sheetViews>
  <sheetFormatPr defaultRowHeight="15" x14ac:dyDescent="0.25"/>
  <cols>
    <col min="1" max="1" width="13.140625" bestFit="1" customWidth="1"/>
    <col min="2" max="2" width="12.85546875" bestFit="1" customWidth="1"/>
    <col min="3" max="3" width="10.140625" bestFit="1" customWidth="1"/>
    <col min="4" max="4" width="15.85546875" bestFit="1" customWidth="1"/>
    <col min="5" max="5" width="16.28515625" bestFit="1" customWidth="1"/>
    <col min="6" max="6" width="9.7109375" bestFit="1" customWidth="1"/>
    <col min="7" max="7" width="11.28515625" bestFit="1" customWidth="1"/>
    <col min="8" max="8" width="13.140625" bestFit="1" customWidth="1"/>
    <col min="9" max="9" width="12.85546875" bestFit="1" customWidth="1"/>
    <col min="11" max="11" width="15" bestFit="1" customWidth="1"/>
    <col min="12" max="12" width="12.85546875" bestFit="1" customWidth="1"/>
    <col min="13" max="13" width="12.140625" bestFit="1" customWidth="1"/>
    <col min="14" max="14" width="10.140625" bestFit="1" customWidth="1"/>
    <col min="15" max="16" width="8.7109375" bestFit="1" customWidth="1"/>
  </cols>
  <sheetData>
    <row r="1" spans="1:6" x14ac:dyDescent="0.25">
      <c r="A1" s="37" t="s">
        <v>84</v>
      </c>
      <c r="B1" s="37" t="s">
        <v>140</v>
      </c>
      <c r="C1" s="37" t="s">
        <v>141</v>
      </c>
      <c r="D1" s="37" t="s">
        <v>142</v>
      </c>
      <c r="E1" s="37" t="s">
        <v>2</v>
      </c>
      <c r="F1" s="37" t="s">
        <v>143</v>
      </c>
    </row>
    <row r="2" spans="1:6" x14ac:dyDescent="0.25">
      <c r="A2" s="22" t="s">
        <v>137</v>
      </c>
      <c r="B2" s="2" t="s">
        <v>127</v>
      </c>
      <c r="C2" s="34">
        <v>43337</v>
      </c>
      <c r="D2" s="22">
        <v>55000</v>
      </c>
      <c r="E2" s="34">
        <v>45658</v>
      </c>
      <c r="F2" s="22" t="s">
        <v>125</v>
      </c>
    </row>
    <row r="3" spans="1:6" x14ac:dyDescent="0.25">
      <c r="A3" s="22" t="s">
        <v>129</v>
      </c>
      <c r="B3" s="2" t="s">
        <v>130</v>
      </c>
      <c r="C3" s="34">
        <v>44571</v>
      </c>
      <c r="D3" s="22">
        <v>50000</v>
      </c>
      <c r="E3" s="34">
        <v>45658</v>
      </c>
      <c r="F3" s="22" t="s">
        <v>125</v>
      </c>
    </row>
    <row r="4" spans="1:6" x14ac:dyDescent="0.25">
      <c r="A4" s="22" t="s">
        <v>133</v>
      </c>
      <c r="B4" s="2" t="s">
        <v>130</v>
      </c>
      <c r="C4" s="34">
        <v>45095</v>
      </c>
      <c r="D4" s="22">
        <v>48000</v>
      </c>
      <c r="E4" s="34">
        <v>45658</v>
      </c>
      <c r="F4" s="22" t="s">
        <v>125</v>
      </c>
    </row>
    <row r="5" spans="1:6" x14ac:dyDescent="0.25">
      <c r="A5" s="22" t="s">
        <v>126</v>
      </c>
      <c r="B5" s="2" t="s">
        <v>127</v>
      </c>
      <c r="C5" s="34">
        <v>44034</v>
      </c>
      <c r="D5" s="22">
        <v>42000</v>
      </c>
      <c r="E5" s="34">
        <v>45658</v>
      </c>
      <c r="F5" s="22" t="s">
        <v>128</v>
      </c>
    </row>
    <row r="6" spans="1:6" x14ac:dyDescent="0.25">
      <c r="A6" s="22" t="s">
        <v>138</v>
      </c>
      <c r="B6" s="2" t="s">
        <v>132</v>
      </c>
      <c r="C6" s="34">
        <v>44896</v>
      </c>
      <c r="D6" s="22">
        <v>40000</v>
      </c>
      <c r="E6" s="34">
        <v>45658</v>
      </c>
      <c r="F6" s="22" t="s">
        <v>128</v>
      </c>
    </row>
    <row r="7" spans="1:6" x14ac:dyDescent="0.25">
      <c r="A7" s="22" t="s">
        <v>131</v>
      </c>
      <c r="B7" s="2" t="s">
        <v>132</v>
      </c>
      <c r="C7" s="34">
        <v>43774</v>
      </c>
      <c r="D7" s="22">
        <v>38000</v>
      </c>
      <c r="E7" s="34">
        <v>45658</v>
      </c>
      <c r="F7" s="22" t="s">
        <v>125</v>
      </c>
    </row>
    <row r="8" spans="1:6" x14ac:dyDescent="0.25">
      <c r="A8" s="22" t="s">
        <v>139</v>
      </c>
      <c r="B8" s="2" t="s">
        <v>135</v>
      </c>
      <c r="C8" s="34">
        <v>45036</v>
      </c>
      <c r="D8" s="22">
        <v>37000</v>
      </c>
      <c r="E8" s="34">
        <v>45658</v>
      </c>
      <c r="F8" s="22" t="s">
        <v>125</v>
      </c>
    </row>
    <row r="9" spans="1:6" x14ac:dyDescent="0.25">
      <c r="A9" s="22" t="s">
        <v>134</v>
      </c>
      <c r="B9" s="2" t="s">
        <v>135</v>
      </c>
      <c r="C9" s="34">
        <v>44469</v>
      </c>
      <c r="D9" s="22">
        <v>36000</v>
      </c>
      <c r="E9" s="34">
        <v>45658</v>
      </c>
      <c r="F9" s="22" t="s">
        <v>128</v>
      </c>
    </row>
    <row r="10" spans="1:6" x14ac:dyDescent="0.25">
      <c r="A10" s="22" t="s">
        <v>123</v>
      </c>
      <c r="B10" s="2" t="s">
        <v>124</v>
      </c>
      <c r="C10" s="34">
        <v>44270</v>
      </c>
      <c r="D10" s="22">
        <v>35000</v>
      </c>
      <c r="E10" s="34">
        <v>45658</v>
      </c>
      <c r="F10" s="22" t="s">
        <v>125</v>
      </c>
    </row>
    <row r="11" spans="1:6" x14ac:dyDescent="0.25">
      <c r="A11" s="22" t="s">
        <v>136</v>
      </c>
      <c r="B11" s="2" t="s">
        <v>124</v>
      </c>
      <c r="C11" s="34">
        <v>43875</v>
      </c>
      <c r="D11" s="22">
        <v>34000</v>
      </c>
      <c r="E11" s="34">
        <v>45658</v>
      </c>
      <c r="F11" s="22" t="s">
        <v>125</v>
      </c>
    </row>
    <row r="16" spans="1:6" x14ac:dyDescent="0.25">
      <c r="D16" s="22" t="s">
        <v>137</v>
      </c>
      <c r="E16">
        <f>AVERAGEIF(A2:A11,D16,D2:D11)</f>
        <v>55000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FF87-DC43-4280-9277-5536EA082AE4}">
  <dimension ref="A1"/>
  <sheetViews>
    <sheetView showGridLines="0" workbookViewId="0">
      <selection activeCell="P40" sqref="P40:P41"/>
    </sheetView>
  </sheetViews>
  <sheetFormatPr defaultRowHeight="15" x14ac:dyDescent="0.25"/>
  <cols>
    <col min="1" max="16384" width="9.140625" style="3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CBCA0-46E4-4813-9BA3-49DF42915DED}">
  <dimension ref="A1"/>
  <sheetViews>
    <sheetView showGridLines="0" workbookViewId="0">
      <selection activeCell="O42" sqref="O42"/>
    </sheetView>
  </sheetViews>
  <sheetFormatPr defaultRowHeight="15" x14ac:dyDescent="0.25"/>
  <cols>
    <col min="1" max="16384" width="9.140625" style="3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C1928-4C9C-44C9-AD09-D14F1FB4FAE9}">
  <dimension ref="A1:N48"/>
  <sheetViews>
    <sheetView workbookViewId="0">
      <selection activeCell="M6" sqref="M6"/>
    </sheetView>
  </sheetViews>
  <sheetFormatPr defaultRowHeight="15" x14ac:dyDescent="0.25"/>
  <cols>
    <col min="1" max="1" width="13.140625" bestFit="1" customWidth="1"/>
    <col min="2" max="2" width="27.85546875" bestFit="1" customWidth="1"/>
    <col min="5" max="5" width="13.140625" bestFit="1" customWidth="1"/>
    <col min="6" max="6" width="15.140625" bestFit="1" customWidth="1"/>
    <col min="7" max="7" width="12.28515625" bestFit="1" customWidth="1"/>
    <col min="9" max="9" width="13.140625" bestFit="1" customWidth="1"/>
    <col min="10" max="10" width="17" bestFit="1" customWidth="1"/>
    <col min="12" max="12" width="13.140625" bestFit="1" customWidth="1"/>
    <col min="13" max="13" width="18.28515625" bestFit="1" customWidth="1"/>
    <col min="14" max="14" width="19.5703125" bestFit="1" customWidth="1"/>
  </cols>
  <sheetData>
    <row r="1" spans="1:14" ht="15.75" x14ac:dyDescent="0.25">
      <c r="A1" s="54" t="s">
        <v>207</v>
      </c>
      <c r="B1" s="54" t="s">
        <v>1843</v>
      </c>
      <c r="C1" s="54" t="s">
        <v>1784</v>
      </c>
      <c r="D1" s="56" t="s">
        <v>207</v>
      </c>
      <c r="E1" s="56" t="s">
        <v>1844</v>
      </c>
      <c r="F1" s="56" t="s">
        <v>1783</v>
      </c>
      <c r="G1" s="57" t="s">
        <v>1845</v>
      </c>
      <c r="H1" s="56" t="s">
        <v>207</v>
      </c>
      <c r="I1" s="56" t="s">
        <v>1785</v>
      </c>
      <c r="J1" s="56" t="s">
        <v>1846</v>
      </c>
      <c r="K1" s="56" t="s">
        <v>1848</v>
      </c>
      <c r="L1" s="56" t="s">
        <v>1849</v>
      </c>
    </row>
    <row r="2" spans="1:14" x14ac:dyDescent="0.25">
      <c r="A2" s="22" t="s">
        <v>93</v>
      </c>
      <c r="B2" s="22" t="s">
        <v>1838</v>
      </c>
      <c r="C2" s="22">
        <v>85</v>
      </c>
      <c r="D2" s="22" t="s">
        <v>1770</v>
      </c>
      <c r="E2" s="22">
        <v>277</v>
      </c>
      <c r="F2" s="22" t="s">
        <v>1838</v>
      </c>
      <c r="G2" s="55">
        <v>77.9375</v>
      </c>
      <c r="H2" s="22" t="s">
        <v>1770</v>
      </c>
      <c r="I2" s="22">
        <v>277</v>
      </c>
      <c r="J2" s="22">
        <v>1</v>
      </c>
      <c r="K2" s="22" t="s">
        <v>1847</v>
      </c>
      <c r="L2" s="22">
        <v>100</v>
      </c>
    </row>
    <row r="3" spans="1:14" x14ac:dyDescent="0.25">
      <c r="A3" s="22" t="s">
        <v>93</v>
      </c>
      <c r="B3" s="22" t="s">
        <v>1751</v>
      </c>
      <c r="C3" s="22">
        <v>78</v>
      </c>
      <c r="D3" s="22" t="s">
        <v>1776</v>
      </c>
      <c r="E3" s="22">
        <v>276</v>
      </c>
      <c r="F3" s="22" t="s">
        <v>1751</v>
      </c>
      <c r="G3" s="55">
        <v>78.9375</v>
      </c>
      <c r="H3" s="22" t="s">
        <v>1776</v>
      </c>
      <c r="I3" s="22">
        <v>276</v>
      </c>
      <c r="J3" s="22">
        <v>2</v>
      </c>
    </row>
    <row r="4" spans="1:14" x14ac:dyDescent="0.25">
      <c r="A4" s="22" t="s">
        <v>93</v>
      </c>
      <c r="B4" s="22" t="s">
        <v>1749</v>
      </c>
      <c r="C4" s="22">
        <v>92</v>
      </c>
      <c r="D4" s="22" t="s">
        <v>1774</v>
      </c>
      <c r="E4" s="22">
        <v>272</v>
      </c>
      <c r="F4" s="22" t="s">
        <v>1749</v>
      </c>
      <c r="G4" s="55">
        <v>84.4</v>
      </c>
      <c r="H4" s="22" t="s">
        <v>1774</v>
      </c>
      <c r="I4" s="22">
        <v>272</v>
      </c>
      <c r="J4" s="22">
        <v>3</v>
      </c>
      <c r="M4" s="32" t="s">
        <v>115</v>
      </c>
      <c r="N4" t="s">
        <v>1850</v>
      </c>
    </row>
    <row r="5" spans="1:14" x14ac:dyDescent="0.25">
      <c r="A5" s="22" t="s">
        <v>92</v>
      </c>
      <c r="B5" s="22" t="s">
        <v>1838</v>
      </c>
      <c r="C5" s="22">
        <v>74</v>
      </c>
      <c r="H5" s="22" t="s">
        <v>1778</v>
      </c>
      <c r="I5" s="22">
        <v>265</v>
      </c>
      <c r="J5" s="22">
        <v>4</v>
      </c>
      <c r="M5" s="31" t="s">
        <v>1774</v>
      </c>
      <c r="N5">
        <v>272</v>
      </c>
    </row>
    <row r="6" spans="1:14" x14ac:dyDescent="0.25">
      <c r="A6" s="22" t="s">
        <v>92</v>
      </c>
      <c r="B6" s="22" t="s">
        <v>1751</v>
      </c>
      <c r="C6" s="22">
        <v>69</v>
      </c>
      <c r="H6" s="22" t="s">
        <v>93</v>
      </c>
      <c r="I6" s="22">
        <v>255</v>
      </c>
      <c r="J6" s="22">
        <v>5</v>
      </c>
      <c r="M6" s="31" t="s">
        <v>1770</v>
      </c>
      <c r="N6">
        <v>277</v>
      </c>
    </row>
    <row r="7" spans="1:14" x14ac:dyDescent="0.25">
      <c r="A7" s="22" t="s">
        <v>92</v>
      </c>
      <c r="B7" s="22" t="s">
        <v>1749</v>
      </c>
      <c r="C7" s="22">
        <v>81</v>
      </c>
      <c r="H7" s="22" t="s">
        <v>1840</v>
      </c>
      <c r="I7" s="22">
        <v>255</v>
      </c>
      <c r="J7" s="22">
        <v>5</v>
      </c>
      <c r="M7" s="31" t="s">
        <v>1776</v>
      </c>
      <c r="N7">
        <v>276</v>
      </c>
    </row>
    <row r="8" spans="1:14" x14ac:dyDescent="0.25">
      <c r="A8" s="22" t="s">
        <v>1774</v>
      </c>
      <c r="B8" s="22" t="s">
        <v>1838</v>
      </c>
      <c r="C8" s="22">
        <v>88</v>
      </c>
      <c r="H8" s="22" t="s">
        <v>114</v>
      </c>
      <c r="I8" s="22">
        <v>255</v>
      </c>
      <c r="J8" s="22">
        <v>5</v>
      </c>
      <c r="M8" s="31" t="s">
        <v>1793</v>
      </c>
    </row>
    <row r="9" spans="1:14" x14ac:dyDescent="0.25">
      <c r="A9" s="22" t="s">
        <v>1774</v>
      </c>
      <c r="B9" s="22" t="s">
        <v>1751</v>
      </c>
      <c r="C9" s="22">
        <v>90</v>
      </c>
      <c r="H9" s="22" t="s">
        <v>1841</v>
      </c>
      <c r="I9" s="22">
        <v>244</v>
      </c>
      <c r="J9" s="22">
        <v>8</v>
      </c>
      <c r="M9" s="31" t="s">
        <v>116</v>
      </c>
      <c r="N9">
        <v>825</v>
      </c>
    </row>
    <row r="10" spans="1:14" x14ac:dyDescent="0.25">
      <c r="A10" s="22" t="s">
        <v>1774</v>
      </c>
      <c r="B10" s="22" t="s">
        <v>1749</v>
      </c>
      <c r="C10" s="22">
        <v>94</v>
      </c>
      <c r="H10" s="22" t="s">
        <v>1750</v>
      </c>
      <c r="I10" s="22">
        <v>241</v>
      </c>
      <c r="J10" s="22">
        <v>9</v>
      </c>
    </row>
    <row r="11" spans="1:14" x14ac:dyDescent="0.25">
      <c r="A11" s="22" t="s">
        <v>1772</v>
      </c>
      <c r="B11" s="22" t="s">
        <v>1838</v>
      </c>
      <c r="C11" s="22">
        <v>65</v>
      </c>
      <c r="H11" s="22" t="s">
        <v>1</v>
      </c>
      <c r="I11" s="22">
        <v>225</v>
      </c>
      <c r="J11" s="22">
        <v>10</v>
      </c>
    </row>
    <row r="12" spans="1:14" x14ac:dyDescent="0.25">
      <c r="A12" s="22" t="s">
        <v>1772</v>
      </c>
      <c r="B12" s="22" t="s">
        <v>1751</v>
      </c>
      <c r="C12" s="22">
        <v>70</v>
      </c>
      <c r="H12" s="22" t="s">
        <v>92</v>
      </c>
      <c r="I12" s="22">
        <v>224</v>
      </c>
      <c r="J12" s="22">
        <v>11</v>
      </c>
    </row>
    <row r="13" spans="1:14" x14ac:dyDescent="0.25">
      <c r="A13" s="22" t="s">
        <v>1772</v>
      </c>
      <c r="B13" s="22" t="s">
        <v>1749</v>
      </c>
      <c r="C13" s="22">
        <v>76</v>
      </c>
      <c r="H13" s="22" t="s">
        <v>1839</v>
      </c>
      <c r="I13" s="22">
        <v>216</v>
      </c>
      <c r="J13" s="22">
        <v>12</v>
      </c>
    </row>
    <row r="14" spans="1:14" x14ac:dyDescent="0.25">
      <c r="A14" s="22" t="s">
        <v>114</v>
      </c>
      <c r="B14" s="22" t="s">
        <v>1838</v>
      </c>
      <c r="C14" s="22">
        <v>82</v>
      </c>
      <c r="H14" s="22" t="s">
        <v>1767</v>
      </c>
      <c r="I14" s="22">
        <v>212</v>
      </c>
      <c r="J14" s="22">
        <v>13</v>
      </c>
    </row>
    <row r="15" spans="1:14" x14ac:dyDescent="0.25">
      <c r="A15" s="22" t="s">
        <v>114</v>
      </c>
      <c r="B15" s="22" t="s">
        <v>1751</v>
      </c>
      <c r="C15" s="22">
        <v>85</v>
      </c>
      <c r="H15" s="22" t="s">
        <v>1772</v>
      </c>
      <c r="I15" s="22">
        <v>211</v>
      </c>
      <c r="J15" s="22">
        <v>14</v>
      </c>
    </row>
    <row r="16" spans="1:14" x14ac:dyDescent="0.25">
      <c r="A16" s="22" t="s">
        <v>114</v>
      </c>
      <c r="B16" s="22" t="s">
        <v>1749</v>
      </c>
      <c r="C16" s="22">
        <v>88</v>
      </c>
      <c r="H16" s="22" t="s">
        <v>1768</v>
      </c>
      <c r="I16" s="22">
        <v>210</v>
      </c>
      <c r="J16" s="22">
        <v>15</v>
      </c>
    </row>
    <row r="17" spans="1:14" x14ac:dyDescent="0.25">
      <c r="A17" s="22" t="s">
        <v>1767</v>
      </c>
      <c r="B17" s="22" t="s">
        <v>1838</v>
      </c>
      <c r="C17" s="22">
        <v>71</v>
      </c>
      <c r="H17" s="22" t="s">
        <v>1842</v>
      </c>
      <c r="I17" s="22">
        <v>138</v>
      </c>
      <c r="J17" s="22">
        <v>16</v>
      </c>
    </row>
    <row r="18" spans="1:14" x14ac:dyDescent="0.25">
      <c r="A18" s="22" t="s">
        <v>1767</v>
      </c>
      <c r="B18" s="22" t="s">
        <v>1751</v>
      </c>
      <c r="C18" s="22">
        <v>68</v>
      </c>
    </row>
    <row r="19" spans="1:14" x14ac:dyDescent="0.25">
      <c r="A19" s="22" t="s">
        <v>1767</v>
      </c>
      <c r="B19" s="22" t="s">
        <v>1749</v>
      </c>
      <c r="C19" s="22">
        <v>73</v>
      </c>
    </row>
    <row r="20" spans="1:14" x14ac:dyDescent="0.25">
      <c r="A20" s="22" t="s">
        <v>1770</v>
      </c>
      <c r="B20" s="22" t="s">
        <v>1838</v>
      </c>
      <c r="C20" s="22">
        <v>90</v>
      </c>
    </row>
    <row r="21" spans="1:14" x14ac:dyDescent="0.25">
      <c r="A21" s="22" t="s">
        <v>1770</v>
      </c>
      <c r="B21" s="22" t="s">
        <v>1751</v>
      </c>
      <c r="C21" s="22">
        <v>92</v>
      </c>
    </row>
    <row r="22" spans="1:14" x14ac:dyDescent="0.25">
      <c r="A22" s="22" t="s">
        <v>1770</v>
      </c>
      <c r="B22" s="22" t="s">
        <v>1749</v>
      </c>
      <c r="C22" s="22">
        <v>95</v>
      </c>
      <c r="L22" s="32" t="s">
        <v>115</v>
      </c>
      <c r="M22" t="s">
        <v>1852</v>
      </c>
      <c r="N22" t="s">
        <v>1853</v>
      </c>
    </row>
    <row r="23" spans="1:14" x14ac:dyDescent="0.25">
      <c r="A23" s="22" t="s">
        <v>1750</v>
      </c>
      <c r="B23" s="22" t="s">
        <v>1838</v>
      </c>
      <c r="C23" s="22">
        <v>77</v>
      </c>
      <c r="I23" s="32" t="s">
        <v>115</v>
      </c>
      <c r="J23" t="s">
        <v>1851</v>
      </c>
      <c r="L23" s="31" t="s">
        <v>1839</v>
      </c>
      <c r="M23">
        <v>216</v>
      </c>
      <c r="N23">
        <v>12</v>
      </c>
    </row>
    <row r="24" spans="1:14" x14ac:dyDescent="0.25">
      <c r="A24" s="22" t="s">
        <v>1750</v>
      </c>
      <c r="B24" s="22" t="s">
        <v>1751</v>
      </c>
      <c r="C24" s="22">
        <v>80</v>
      </c>
      <c r="I24" s="31" t="s">
        <v>1838</v>
      </c>
      <c r="J24">
        <v>77.9375</v>
      </c>
      <c r="L24" s="31" t="s">
        <v>1774</v>
      </c>
      <c r="M24">
        <v>272</v>
      </c>
      <c r="N24">
        <v>3</v>
      </c>
    </row>
    <row r="25" spans="1:14" x14ac:dyDescent="0.25">
      <c r="A25" s="22" t="s">
        <v>1750</v>
      </c>
      <c r="B25" s="22" t="s">
        <v>1749</v>
      </c>
      <c r="C25" s="22">
        <v>84</v>
      </c>
      <c r="I25" s="31" t="s">
        <v>1751</v>
      </c>
      <c r="J25">
        <v>78.9375</v>
      </c>
      <c r="L25" s="31" t="s">
        <v>1842</v>
      </c>
      <c r="M25">
        <v>138</v>
      </c>
      <c r="N25">
        <v>16</v>
      </c>
    </row>
    <row r="26" spans="1:14" x14ac:dyDescent="0.25">
      <c r="A26" s="22" t="s">
        <v>1839</v>
      </c>
      <c r="B26" s="22" t="s">
        <v>1838</v>
      </c>
      <c r="C26" s="22">
        <v>69</v>
      </c>
      <c r="I26" s="31" t="s">
        <v>1749</v>
      </c>
      <c r="J26">
        <v>84.4</v>
      </c>
      <c r="L26" s="31" t="s">
        <v>1767</v>
      </c>
      <c r="M26">
        <v>212</v>
      </c>
      <c r="N26">
        <v>13</v>
      </c>
    </row>
    <row r="27" spans="1:14" x14ac:dyDescent="0.25">
      <c r="A27" s="22" t="s">
        <v>1839</v>
      </c>
      <c r="B27" s="22" t="s">
        <v>1751</v>
      </c>
      <c r="C27" s="22">
        <v>72</v>
      </c>
      <c r="I27" s="31" t="s">
        <v>1793</v>
      </c>
      <c r="L27" s="31" t="s">
        <v>1768</v>
      </c>
      <c r="M27">
        <v>210</v>
      </c>
      <c r="N27">
        <v>15</v>
      </c>
    </row>
    <row r="28" spans="1:14" x14ac:dyDescent="0.25">
      <c r="A28" s="22" t="s">
        <v>1839</v>
      </c>
      <c r="B28" s="22" t="s">
        <v>1749</v>
      </c>
      <c r="C28" s="22">
        <v>75</v>
      </c>
      <c r="I28" s="31" t="s">
        <v>116</v>
      </c>
      <c r="J28">
        <v>241.27500000000001</v>
      </c>
      <c r="L28" s="31" t="s">
        <v>1778</v>
      </c>
      <c r="M28">
        <v>265</v>
      </c>
      <c r="N28">
        <v>4</v>
      </c>
    </row>
    <row r="29" spans="1:14" x14ac:dyDescent="0.25">
      <c r="A29" s="22" t="s">
        <v>1778</v>
      </c>
      <c r="B29" s="22" t="s">
        <v>1838</v>
      </c>
      <c r="C29" s="22">
        <v>88</v>
      </c>
      <c r="L29" s="31" t="s">
        <v>1840</v>
      </c>
      <c r="M29">
        <v>255</v>
      </c>
      <c r="N29">
        <v>5</v>
      </c>
    </row>
    <row r="30" spans="1:14" x14ac:dyDescent="0.25">
      <c r="A30" s="22" t="s">
        <v>1778</v>
      </c>
      <c r="B30" s="22" t="s">
        <v>1751</v>
      </c>
      <c r="C30" s="22">
        <v>86</v>
      </c>
      <c r="L30" s="31" t="s">
        <v>1772</v>
      </c>
      <c r="M30">
        <v>211</v>
      </c>
      <c r="N30">
        <v>14</v>
      </c>
    </row>
    <row r="31" spans="1:14" x14ac:dyDescent="0.25">
      <c r="A31" s="22" t="s">
        <v>1778</v>
      </c>
      <c r="B31" s="22" t="s">
        <v>1749</v>
      </c>
      <c r="C31" s="22">
        <v>91</v>
      </c>
      <c r="L31" s="31" t="s">
        <v>1750</v>
      </c>
      <c r="M31">
        <v>241</v>
      </c>
      <c r="N31">
        <v>9</v>
      </c>
    </row>
    <row r="32" spans="1:14" x14ac:dyDescent="0.25">
      <c r="A32" s="22" t="s">
        <v>1768</v>
      </c>
      <c r="B32" s="22" t="s">
        <v>1838</v>
      </c>
      <c r="C32" s="22">
        <v>66</v>
      </c>
      <c r="L32" s="31" t="s">
        <v>92</v>
      </c>
      <c r="M32">
        <v>224</v>
      </c>
      <c r="N32">
        <v>11</v>
      </c>
    </row>
    <row r="33" spans="1:14" x14ac:dyDescent="0.25">
      <c r="A33" s="22" t="s">
        <v>1768</v>
      </c>
      <c r="B33" s="22" t="s">
        <v>1751</v>
      </c>
      <c r="C33" s="22">
        <v>70</v>
      </c>
      <c r="L33" s="31" t="s">
        <v>1770</v>
      </c>
      <c r="M33">
        <v>277</v>
      </c>
      <c r="N33">
        <v>1</v>
      </c>
    </row>
    <row r="34" spans="1:14" x14ac:dyDescent="0.25">
      <c r="A34" s="22" t="s">
        <v>1768</v>
      </c>
      <c r="B34" s="22" t="s">
        <v>1749</v>
      </c>
      <c r="C34" s="22">
        <v>74</v>
      </c>
      <c r="L34" s="31" t="s">
        <v>1841</v>
      </c>
      <c r="M34">
        <v>244</v>
      </c>
      <c r="N34">
        <v>8</v>
      </c>
    </row>
    <row r="35" spans="1:14" x14ac:dyDescent="0.25">
      <c r="A35" s="22" t="s">
        <v>1840</v>
      </c>
      <c r="B35" s="22" t="s">
        <v>1838</v>
      </c>
      <c r="C35" s="22">
        <v>83</v>
      </c>
      <c r="L35" s="31" t="s">
        <v>93</v>
      </c>
      <c r="M35">
        <v>255</v>
      </c>
      <c r="N35">
        <v>5</v>
      </c>
    </row>
    <row r="36" spans="1:14" x14ac:dyDescent="0.25">
      <c r="A36" s="22" t="s">
        <v>1840</v>
      </c>
      <c r="B36" s="22" t="s">
        <v>1751</v>
      </c>
      <c r="C36" s="22">
        <v>85</v>
      </c>
      <c r="L36" s="31" t="s">
        <v>1776</v>
      </c>
      <c r="M36">
        <v>276</v>
      </c>
      <c r="N36">
        <v>2</v>
      </c>
    </row>
    <row r="37" spans="1:14" x14ac:dyDescent="0.25">
      <c r="A37" s="22" t="s">
        <v>1840</v>
      </c>
      <c r="B37" s="22" t="s">
        <v>1749</v>
      </c>
      <c r="C37" s="22">
        <v>87</v>
      </c>
      <c r="L37" s="31" t="s">
        <v>114</v>
      </c>
      <c r="M37">
        <v>255</v>
      </c>
      <c r="N37">
        <v>5</v>
      </c>
    </row>
    <row r="38" spans="1:14" x14ac:dyDescent="0.25">
      <c r="A38" s="22" t="s">
        <v>1841</v>
      </c>
      <c r="B38" s="22" t="s">
        <v>1838</v>
      </c>
      <c r="C38" s="22">
        <v>79</v>
      </c>
      <c r="L38" s="31" t="s">
        <v>1</v>
      </c>
      <c r="M38">
        <v>225</v>
      </c>
      <c r="N38">
        <v>10</v>
      </c>
    </row>
    <row r="39" spans="1:14" x14ac:dyDescent="0.25">
      <c r="A39" s="22" t="s">
        <v>1841</v>
      </c>
      <c r="B39" s="22" t="s">
        <v>1751</v>
      </c>
      <c r="C39" s="22">
        <v>81</v>
      </c>
      <c r="L39" s="31" t="s">
        <v>1793</v>
      </c>
    </row>
    <row r="40" spans="1:14" x14ac:dyDescent="0.25">
      <c r="A40" s="22" t="s">
        <v>1841</v>
      </c>
      <c r="B40" s="22" t="s">
        <v>1749</v>
      </c>
      <c r="C40" s="22">
        <v>84</v>
      </c>
      <c r="L40" s="31" t="s">
        <v>116</v>
      </c>
      <c r="M40">
        <v>3776</v>
      </c>
      <c r="N40">
        <v>133</v>
      </c>
    </row>
    <row r="41" spans="1:14" x14ac:dyDescent="0.25">
      <c r="A41" s="22" t="s">
        <v>1</v>
      </c>
      <c r="B41" s="22" t="s">
        <v>1838</v>
      </c>
      <c r="C41" s="22">
        <v>72</v>
      </c>
    </row>
    <row r="42" spans="1:14" x14ac:dyDescent="0.25">
      <c r="A42" s="22" t="s">
        <v>1</v>
      </c>
      <c r="B42" s="22" t="s">
        <v>1751</v>
      </c>
      <c r="C42" s="22">
        <v>75</v>
      </c>
    </row>
    <row r="43" spans="1:14" x14ac:dyDescent="0.25">
      <c r="A43" s="22" t="s">
        <v>1</v>
      </c>
      <c r="B43" s="22" t="s">
        <v>1749</v>
      </c>
      <c r="C43" s="22">
        <v>78</v>
      </c>
    </row>
    <row r="44" spans="1:14" x14ac:dyDescent="0.25">
      <c r="A44" s="22" t="s">
        <v>1776</v>
      </c>
      <c r="B44" s="22" t="s">
        <v>1838</v>
      </c>
      <c r="C44" s="22">
        <v>90</v>
      </c>
    </row>
    <row r="45" spans="1:14" x14ac:dyDescent="0.25">
      <c r="A45" s="22" t="s">
        <v>1776</v>
      </c>
      <c r="B45" s="22" t="s">
        <v>1751</v>
      </c>
      <c r="C45" s="22">
        <v>92</v>
      </c>
    </row>
    <row r="46" spans="1:14" x14ac:dyDescent="0.25">
      <c r="A46" s="22" t="s">
        <v>1776</v>
      </c>
      <c r="B46" s="22" t="s">
        <v>1749</v>
      </c>
      <c r="C46" s="22">
        <v>94</v>
      </c>
    </row>
    <row r="47" spans="1:14" x14ac:dyDescent="0.25">
      <c r="A47" s="22" t="s">
        <v>1842</v>
      </c>
      <c r="B47" s="22" t="s">
        <v>1838</v>
      </c>
      <c r="C47" s="22">
        <v>68</v>
      </c>
    </row>
    <row r="48" spans="1:14" x14ac:dyDescent="0.25">
      <c r="A48" s="22" t="s">
        <v>1842</v>
      </c>
      <c r="B48" s="22" t="s">
        <v>1751</v>
      </c>
      <c r="C48" s="22">
        <v>70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6D158-172E-4A4C-BF35-5436E57E7E70}">
  <dimension ref="A1"/>
  <sheetViews>
    <sheetView showGridLines="0" workbookViewId="0">
      <selection activeCell="M22" sqref="M22"/>
    </sheetView>
  </sheetViews>
  <sheetFormatPr defaultRowHeight="15" x14ac:dyDescent="0.25"/>
  <cols>
    <col min="1" max="16384" width="9.140625" style="5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5CA4F-B6DA-49C4-8B44-F4DFBBC93A55}">
  <dimension ref="A1:K501"/>
  <sheetViews>
    <sheetView workbookViewId="0">
      <selection activeCell="N6" sqref="N6"/>
    </sheetView>
  </sheetViews>
  <sheetFormatPr defaultRowHeight="15" x14ac:dyDescent="0.25"/>
  <cols>
    <col min="1" max="1" width="16.140625" style="22" bestFit="1" customWidth="1"/>
    <col min="2" max="2" width="28.42578125" style="22" bestFit="1" customWidth="1"/>
    <col min="3" max="3" width="27.85546875" style="22" bestFit="1" customWidth="1"/>
    <col min="4" max="4" width="11.28515625" style="22" bestFit="1" customWidth="1"/>
    <col min="5" max="5" width="13.140625" style="22" bestFit="1" customWidth="1"/>
    <col min="6" max="7" width="19" style="22" bestFit="1" customWidth="1"/>
    <col min="8" max="8" width="9.140625" style="22"/>
    <col min="9" max="9" width="10.7109375" style="22" bestFit="1" customWidth="1"/>
    <col min="10" max="10" width="11.28515625" style="22" bestFit="1" customWidth="1"/>
    <col min="11" max="11" width="9.140625" style="22"/>
    <col min="13" max="13" width="13.140625" bestFit="1" customWidth="1"/>
    <col min="15" max="15" width="13.140625" bestFit="1" customWidth="1"/>
    <col min="16" max="16" width="27.85546875" bestFit="1" customWidth="1"/>
  </cols>
  <sheetData>
    <row r="1" spans="1:11" x14ac:dyDescent="0.25">
      <c r="A1" s="47" t="s">
        <v>1738</v>
      </c>
      <c r="B1" s="47" t="s">
        <v>1739</v>
      </c>
      <c r="C1" s="47" t="s">
        <v>1740</v>
      </c>
      <c r="D1" s="47" t="s">
        <v>1741</v>
      </c>
      <c r="E1" s="47" t="s">
        <v>1742</v>
      </c>
      <c r="F1" s="47" t="s">
        <v>1743</v>
      </c>
      <c r="G1" s="47" t="s">
        <v>1744</v>
      </c>
      <c r="H1" s="47" t="s">
        <v>1745</v>
      </c>
      <c r="I1" s="47" t="s">
        <v>1746</v>
      </c>
      <c r="J1" s="47" t="s">
        <v>1747</v>
      </c>
      <c r="K1" s="47" t="s">
        <v>1748</v>
      </c>
    </row>
    <row r="2" spans="1:11" x14ac:dyDescent="0.25">
      <c r="A2" s="22" t="s">
        <v>248</v>
      </c>
      <c r="B2" s="22" t="s">
        <v>249</v>
      </c>
      <c r="C2" s="22">
        <v>156</v>
      </c>
      <c r="D2" s="22" t="s">
        <v>250</v>
      </c>
      <c r="E2" s="22">
        <v>2</v>
      </c>
      <c r="F2" s="22">
        <v>120</v>
      </c>
      <c r="G2" s="22" t="s">
        <v>251</v>
      </c>
      <c r="H2" s="22" t="s">
        <v>252</v>
      </c>
      <c r="I2" s="34">
        <v>46030</v>
      </c>
      <c r="J2" s="34">
        <v>46031</v>
      </c>
      <c r="K2" s="22" t="s">
        <v>246</v>
      </c>
    </row>
    <row r="3" spans="1:11" x14ac:dyDescent="0.25">
      <c r="A3" s="22" t="s">
        <v>253</v>
      </c>
      <c r="B3" s="22" t="s">
        <v>254</v>
      </c>
      <c r="C3" s="22">
        <v>169</v>
      </c>
      <c r="D3" s="22" t="s">
        <v>255</v>
      </c>
      <c r="E3" s="22">
        <v>3</v>
      </c>
      <c r="F3" s="22">
        <v>130</v>
      </c>
      <c r="G3" s="22" t="s">
        <v>256</v>
      </c>
      <c r="H3" s="22" t="s">
        <v>257</v>
      </c>
      <c r="I3" s="34">
        <v>46029</v>
      </c>
      <c r="J3" s="34">
        <v>46030</v>
      </c>
      <c r="K3" s="22" t="s">
        <v>245</v>
      </c>
    </row>
    <row r="4" spans="1:11" x14ac:dyDescent="0.25">
      <c r="A4" s="22" t="s">
        <v>258</v>
      </c>
      <c r="B4" s="22" t="s">
        <v>259</v>
      </c>
      <c r="C4" s="22">
        <v>182</v>
      </c>
      <c r="D4" s="22" t="s">
        <v>260</v>
      </c>
      <c r="E4" s="22">
        <v>4</v>
      </c>
      <c r="F4" s="22">
        <v>140</v>
      </c>
      <c r="G4" s="22" t="s">
        <v>261</v>
      </c>
      <c r="H4" s="22" t="s">
        <v>262</v>
      </c>
      <c r="I4" s="34">
        <v>46028</v>
      </c>
      <c r="J4" s="34">
        <v>46029</v>
      </c>
      <c r="K4" s="22" t="s">
        <v>244</v>
      </c>
    </row>
    <row r="5" spans="1:11" x14ac:dyDescent="0.25">
      <c r="A5" s="22" t="s">
        <v>263</v>
      </c>
      <c r="B5" s="22" t="s">
        <v>264</v>
      </c>
      <c r="C5" s="22">
        <v>195</v>
      </c>
      <c r="D5" s="22" t="s">
        <v>265</v>
      </c>
      <c r="E5" s="22">
        <v>5</v>
      </c>
      <c r="F5" s="22">
        <v>150</v>
      </c>
      <c r="G5" s="22" t="s">
        <v>266</v>
      </c>
      <c r="H5" s="22" t="s">
        <v>267</v>
      </c>
      <c r="I5" s="34">
        <v>46027</v>
      </c>
      <c r="J5" s="34">
        <v>46028</v>
      </c>
      <c r="K5" s="22" t="s">
        <v>243</v>
      </c>
    </row>
    <row r="6" spans="1:11" x14ac:dyDescent="0.25">
      <c r="A6" s="22" t="s">
        <v>268</v>
      </c>
      <c r="B6" s="22" t="s">
        <v>269</v>
      </c>
      <c r="C6" s="22">
        <v>208</v>
      </c>
      <c r="D6" s="22" t="s">
        <v>270</v>
      </c>
      <c r="E6" s="22">
        <v>1</v>
      </c>
      <c r="F6" s="22">
        <v>160</v>
      </c>
      <c r="G6" s="22" t="s">
        <v>271</v>
      </c>
      <c r="H6" s="22" t="s">
        <v>272</v>
      </c>
      <c r="I6" s="34">
        <v>46026</v>
      </c>
      <c r="J6" s="34">
        <v>46027</v>
      </c>
      <c r="K6" s="22" t="s">
        <v>247</v>
      </c>
    </row>
    <row r="7" spans="1:11" x14ac:dyDescent="0.25">
      <c r="A7" s="22" t="s">
        <v>273</v>
      </c>
      <c r="B7" s="22" t="s">
        <v>274</v>
      </c>
      <c r="C7" s="22">
        <v>221</v>
      </c>
      <c r="D7" s="22" t="s">
        <v>250</v>
      </c>
      <c r="E7" s="22">
        <v>2</v>
      </c>
      <c r="F7" s="22">
        <v>170</v>
      </c>
      <c r="G7" s="22" t="s">
        <v>275</v>
      </c>
      <c r="H7" s="22" t="s">
        <v>252</v>
      </c>
      <c r="I7" s="34">
        <v>46025</v>
      </c>
      <c r="J7" s="34">
        <v>46026</v>
      </c>
      <c r="K7" s="22" t="s">
        <v>246</v>
      </c>
    </row>
    <row r="8" spans="1:11" x14ac:dyDescent="0.25">
      <c r="A8" s="22" t="s">
        <v>276</v>
      </c>
      <c r="B8" s="22" t="s">
        <v>277</v>
      </c>
      <c r="C8" s="22">
        <v>234</v>
      </c>
      <c r="D8" s="22" t="s">
        <v>255</v>
      </c>
      <c r="E8" s="22">
        <v>3</v>
      </c>
      <c r="F8" s="22">
        <v>180</v>
      </c>
      <c r="G8" s="22" t="s">
        <v>278</v>
      </c>
      <c r="H8" s="22" t="s">
        <v>257</v>
      </c>
      <c r="I8" s="34">
        <v>46024</v>
      </c>
      <c r="J8" s="34">
        <v>46025</v>
      </c>
      <c r="K8" s="22" t="s">
        <v>245</v>
      </c>
    </row>
    <row r="9" spans="1:11" x14ac:dyDescent="0.25">
      <c r="A9" s="22" t="s">
        <v>279</v>
      </c>
      <c r="B9" s="22" t="s">
        <v>280</v>
      </c>
      <c r="C9" s="22">
        <v>247</v>
      </c>
      <c r="D9" s="22" t="s">
        <v>260</v>
      </c>
      <c r="E9" s="22">
        <v>4</v>
      </c>
      <c r="F9" s="22">
        <v>190</v>
      </c>
      <c r="G9" s="22" t="s">
        <v>281</v>
      </c>
      <c r="H9" s="22" t="s">
        <v>262</v>
      </c>
      <c r="I9" s="34">
        <v>46023</v>
      </c>
      <c r="J9" s="34">
        <v>46024</v>
      </c>
      <c r="K9" s="22" t="s">
        <v>244</v>
      </c>
    </row>
    <row r="10" spans="1:11" x14ac:dyDescent="0.25">
      <c r="A10" s="22" t="s">
        <v>282</v>
      </c>
      <c r="B10" s="22" t="s">
        <v>283</v>
      </c>
      <c r="C10" s="22">
        <v>260</v>
      </c>
      <c r="D10" s="22" t="s">
        <v>265</v>
      </c>
      <c r="E10" s="22">
        <v>5</v>
      </c>
      <c r="F10" s="22">
        <v>200</v>
      </c>
      <c r="G10" s="22" t="s">
        <v>284</v>
      </c>
      <c r="H10" s="22" t="s">
        <v>267</v>
      </c>
      <c r="I10" s="34">
        <v>46022</v>
      </c>
      <c r="J10" s="34">
        <v>46023</v>
      </c>
      <c r="K10" s="22" t="s">
        <v>243</v>
      </c>
    </row>
    <row r="11" spans="1:11" x14ac:dyDescent="0.25">
      <c r="A11" s="22" t="s">
        <v>285</v>
      </c>
      <c r="B11" s="22" t="s">
        <v>286</v>
      </c>
      <c r="C11" s="22">
        <v>273</v>
      </c>
      <c r="D11" s="22" t="s">
        <v>270</v>
      </c>
      <c r="E11" s="22">
        <v>1</v>
      </c>
      <c r="F11" s="22">
        <v>210</v>
      </c>
      <c r="G11" s="22" t="s">
        <v>287</v>
      </c>
      <c r="H11" s="22" t="s">
        <v>272</v>
      </c>
      <c r="I11" s="34">
        <v>46021</v>
      </c>
      <c r="J11" s="34">
        <v>46022</v>
      </c>
      <c r="K11" s="22" t="s">
        <v>247</v>
      </c>
    </row>
    <row r="12" spans="1:11" x14ac:dyDescent="0.25">
      <c r="A12" s="22" t="s">
        <v>288</v>
      </c>
      <c r="B12" s="22" t="s">
        <v>289</v>
      </c>
      <c r="C12" s="22">
        <v>286</v>
      </c>
      <c r="D12" s="22" t="s">
        <v>250</v>
      </c>
      <c r="E12" s="22">
        <v>2</v>
      </c>
      <c r="F12" s="22">
        <v>220</v>
      </c>
      <c r="G12" s="22" t="s">
        <v>290</v>
      </c>
      <c r="H12" s="22" t="s">
        <v>252</v>
      </c>
      <c r="I12" s="34">
        <v>46020</v>
      </c>
      <c r="J12" s="34">
        <v>46021</v>
      </c>
      <c r="K12" s="22" t="s">
        <v>246</v>
      </c>
    </row>
    <row r="13" spans="1:11" x14ac:dyDescent="0.25">
      <c r="A13" s="22" t="s">
        <v>291</v>
      </c>
      <c r="B13" s="22" t="s">
        <v>292</v>
      </c>
      <c r="C13" s="22">
        <v>299</v>
      </c>
      <c r="D13" s="22" t="s">
        <v>255</v>
      </c>
      <c r="E13" s="22">
        <v>3</v>
      </c>
      <c r="F13" s="22">
        <v>230</v>
      </c>
      <c r="G13" s="22" t="s">
        <v>293</v>
      </c>
      <c r="H13" s="22" t="s">
        <v>257</v>
      </c>
      <c r="I13" s="34">
        <v>46019</v>
      </c>
      <c r="J13" s="34">
        <v>46020</v>
      </c>
      <c r="K13" s="22" t="s">
        <v>245</v>
      </c>
    </row>
    <row r="14" spans="1:11" x14ac:dyDescent="0.25">
      <c r="A14" s="22" t="s">
        <v>294</v>
      </c>
      <c r="B14" s="22" t="s">
        <v>295</v>
      </c>
      <c r="C14" s="22">
        <v>312</v>
      </c>
      <c r="D14" s="22" t="s">
        <v>260</v>
      </c>
      <c r="E14" s="22">
        <v>4</v>
      </c>
      <c r="F14" s="22">
        <v>240</v>
      </c>
      <c r="G14" s="22" t="s">
        <v>296</v>
      </c>
      <c r="H14" s="22" t="s">
        <v>262</v>
      </c>
      <c r="I14" s="34">
        <v>46018</v>
      </c>
      <c r="J14" s="34">
        <v>46019</v>
      </c>
      <c r="K14" s="22" t="s">
        <v>244</v>
      </c>
    </row>
    <row r="15" spans="1:11" x14ac:dyDescent="0.25">
      <c r="A15" s="22" t="s">
        <v>297</v>
      </c>
      <c r="B15" s="22" t="s">
        <v>298</v>
      </c>
      <c r="C15" s="22">
        <v>325</v>
      </c>
      <c r="D15" s="22" t="s">
        <v>265</v>
      </c>
      <c r="E15" s="22">
        <v>5</v>
      </c>
      <c r="F15" s="22">
        <v>250</v>
      </c>
      <c r="G15" s="22" t="s">
        <v>299</v>
      </c>
      <c r="H15" s="22" t="s">
        <v>267</v>
      </c>
      <c r="I15" s="34">
        <v>46017</v>
      </c>
      <c r="J15" s="34">
        <v>46018</v>
      </c>
      <c r="K15" s="22" t="s">
        <v>243</v>
      </c>
    </row>
    <row r="16" spans="1:11" x14ac:dyDescent="0.25">
      <c r="A16" s="22" t="s">
        <v>300</v>
      </c>
      <c r="B16" s="22" t="s">
        <v>301</v>
      </c>
      <c r="C16" s="22">
        <v>338</v>
      </c>
      <c r="D16" s="22" t="s">
        <v>270</v>
      </c>
      <c r="E16" s="22">
        <v>1</v>
      </c>
      <c r="F16" s="22">
        <v>260</v>
      </c>
      <c r="G16" s="22" t="s">
        <v>302</v>
      </c>
      <c r="H16" s="22" t="s">
        <v>272</v>
      </c>
      <c r="I16" s="34">
        <v>46016</v>
      </c>
      <c r="J16" s="34">
        <v>46017</v>
      </c>
      <c r="K16" s="22" t="s">
        <v>247</v>
      </c>
    </row>
    <row r="17" spans="1:11" x14ac:dyDescent="0.25">
      <c r="A17" s="22" t="s">
        <v>303</v>
      </c>
      <c r="B17" s="22" t="s">
        <v>304</v>
      </c>
      <c r="C17" s="22">
        <v>351</v>
      </c>
      <c r="D17" s="22" t="s">
        <v>250</v>
      </c>
      <c r="E17" s="22">
        <v>2</v>
      </c>
      <c r="F17" s="22">
        <v>270</v>
      </c>
      <c r="G17" s="22" t="s">
        <v>305</v>
      </c>
      <c r="H17" s="22" t="s">
        <v>252</v>
      </c>
      <c r="I17" s="34">
        <v>46015</v>
      </c>
      <c r="J17" s="34">
        <v>46016</v>
      </c>
      <c r="K17" s="22" t="s">
        <v>246</v>
      </c>
    </row>
    <row r="18" spans="1:11" x14ac:dyDescent="0.25">
      <c r="A18" s="22" t="s">
        <v>306</v>
      </c>
      <c r="B18" s="22" t="s">
        <v>307</v>
      </c>
      <c r="C18" s="22">
        <v>364</v>
      </c>
      <c r="D18" s="22" t="s">
        <v>255</v>
      </c>
      <c r="E18" s="22">
        <v>3</v>
      </c>
      <c r="F18" s="22">
        <v>280</v>
      </c>
      <c r="G18" s="22" t="s">
        <v>308</v>
      </c>
      <c r="H18" s="22" t="s">
        <v>257</v>
      </c>
      <c r="I18" s="34">
        <v>46014</v>
      </c>
      <c r="J18" s="34">
        <v>46015</v>
      </c>
      <c r="K18" s="22" t="s">
        <v>245</v>
      </c>
    </row>
    <row r="19" spans="1:11" x14ac:dyDescent="0.25">
      <c r="A19" s="22" t="s">
        <v>309</v>
      </c>
      <c r="B19" s="22" t="s">
        <v>310</v>
      </c>
      <c r="C19" s="22">
        <v>377</v>
      </c>
      <c r="D19" s="22" t="s">
        <v>260</v>
      </c>
      <c r="E19" s="22">
        <v>4</v>
      </c>
      <c r="F19" s="22">
        <v>290</v>
      </c>
      <c r="G19" s="22" t="s">
        <v>311</v>
      </c>
      <c r="H19" s="22" t="s">
        <v>262</v>
      </c>
      <c r="I19" s="34">
        <v>46013</v>
      </c>
      <c r="J19" s="34">
        <v>46014</v>
      </c>
      <c r="K19" s="22" t="s">
        <v>244</v>
      </c>
    </row>
    <row r="20" spans="1:11" x14ac:dyDescent="0.25">
      <c r="A20" s="22" t="s">
        <v>312</v>
      </c>
      <c r="B20" s="22" t="s">
        <v>313</v>
      </c>
      <c r="C20" s="22">
        <v>390</v>
      </c>
      <c r="D20" s="22" t="s">
        <v>265</v>
      </c>
      <c r="E20" s="22">
        <v>5</v>
      </c>
      <c r="F20" s="22">
        <v>300</v>
      </c>
      <c r="G20" s="22" t="s">
        <v>314</v>
      </c>
      <c r="H20" s="22" t="s">
        <v>267</v>
      </c>
      <c r="I20" s="34">
        <v>46012</v>
      </c>
      <c r="J20" s="34">
        <v>46013</v>
      </c>
      <c r="K20" s="22" t="s">
        <v>243</v>
      </c>
    </row>
    <row r="21" spans="1:11" x14ac:dyDescent="0.25">
      <c r="A21" s="22" t="s">
        <v>315</v>
      </c>
      <c r="B21" s="22" t="s">
        <v>316</v>
      </c>
      <c r="C21" s="22">
        <v>403</v>
      </c>
      <c r="D21" s="22" t="s">
        <v>270</v>
      </c>
      <c r="E21" s="22">
        <v>1</v>
      </c>
      <c r="F21" s="22">
        <v>310</v>
      </c>
      <c r="G21" s="22" t="s">
        <v>317</v>
      </c>
      <c r="H21" s="22" t="s">
        <v>272</v>
      </c>
      <c r="I21" s="34">
        <v>46011</v>
      </c>
      <c r="J21" s="34">
        <v>46012</v>
      </c>
      <c r="K21" s="22" t="s">
        <v>247</v>
      </c>
    </row>
    <row r="22" spans="1:11" x14ac:dyDescent="0.25">
      <c r="A22" s="22" t="s">
        <v>318</v>
      </c>
      <c r="B22" s="22" t="s">
        <v>319</v>
      </c>
      <c r="C22" s="22">
        <v>416</v>
      </c>
      <c r="D22" s="22" t="s">
        <v>250</v>
      </c>
      <c r="E22" s="22">
        <v>2</v>
      </c>
      <c r="F22" s="22">
        <v>320</v>
      </c>
      <c r="G22" s="22" t="s">
        <v>320</v>
      </c>
      <c r="H22" s="22" t="s">
        <v>252</v>
      </c>
      <c r="I22" s="34">
        <v>46010</v>
      </c>
      <c r="J22" s="34">
        <v>46011</v>
      </c>
      <c r="K22" s="22" t="s">
        <v>246</v>
      </c>
    </row>
    <row r="23" spans="1:11" x14ac:dyDescent="0.25">
      <c r="A23" s="22" t="s">
        <v>321</v>
      </c>
      <c r="B23" s="22" t="s">
        <v>322</v>
      </c>
      <c r="C23" s="22">
        <v>429</v>
      </c>
      <c r="D23" s="22" t="s">
        <v>255</v>
      </c>
      <c r="E23" s="22">
        <v>3</v>
      </c>
      <c r="F23" s="22">
        <v>330</v>
      </c>
      <c r="G23" s="22" t="s">
        <v>323</v>
      </c>
      <c r="H23" s="22" t="s">
        <v>257</v>
      </c>
      <c r="I23" s="34">
        <v>46009</v>
      </c>
      <c r="J23" s="34">
        <v>46010</v>
      </c>
      <c r="K23" s="22" t="s">
        <v>245</v>
      </c>
    </row>
    <row r="24" spans="1:11" x14ac:dyDescent="0.25">
      <c r="A24" s="22" t="s">
        <v>324</v>
      </c>
      <c r="B24" s="22" t="s">
        <v>325</v>
      </c>
      <c r="C24" s="22">
        <v>442</v>
      </c>
      <c r="D24" s="22" t="s">
        <v>260</v>
      </c>
      <c r="E24" s="22">
        <v>4</v>
      </c>
      <c r="F24" s="22">
        <v>340</v>
      </c>
      <c r="G24" s="22" t="s">
        <v>326</v>
      </c>
      <c r="H24" s="22" t="s">
        <v>262</v>
      </c>
      <c r="I24" s="34">
        <v>46008</v>
      </c>
      <c r="J24" s="34">
        <v>46009</v>
      </c>
      <c r="K24" s="22" t="s">
        <v>244</v>
      </c>
    </row>
    <row r="25" spans="1:11" x14ac:dyDescent="0.25">
      <c r="A25" s="22" t="s">
        <v>327</v>
      </c>
      <c r="B25" s="22" t="s">
        <v>328</v>
      </c>
      <c r="C25" s="22">
        <v>455</v>
      </c>
      <c r="D25" s="22" t="s">
        <v>265</v>
      </c>
      <c r="E25" s="22">
        <v>5</v>
      </c>
      <c r="F25" s="22">
        <v>350</v>
      </c>
      <c r="G25" s="22" t="s">
        <v>329</v>
      </c>
      <c r="H25" s="22" t="s">
        <v>267</v>
      </c>
      <c r="I25" s="34">
        <v>46007</v>
      </c>
      <c r="J25" s="34">
        <v>46008</v>
      </c>
      <c r="K25" s="22" t="s">
        <v>243</v>
      </c>
    </row>
    <row r="26" spans="1:11" x14ac:dyDescent="0.25">
      <c r="A26" s="22" t="s">
        <v>330</v>
      </c>
      <c r="B26" s="22" t="s">
        <v>331</v>
      </c>
      <c r="C26" s="22">
        <v>468</v>
      </c>
      <c r="D26" s="22" t="s">
        <v>270</v>
      </c>
      <c r="E26" s="22">
        <v>1</v>
      </c>
      <c r="F26" s="22">
        <v>360</v>
      </c>
      <c r="G26" s="22" t="s">
        <v>332</v>
      </c>
      <c r="H26" s="22" t="s">
        <v>272</v>
      </c>
      <c r="I26" s="34">
        <v>46006</v>
      </c>
      <c r="J26" s="34">
        <v>46007</v>
      </c>
      <c r="K26" s="22" t="s">
        <v>247</v>
      </c>
    </row>
    <row r="27" spans="1:11" x14ac:dyDescent="0.25">
      <c r="A27" s="22" t="s">
        <v>333</v>
      </c>
      <c r="B27" s="22" t="s">
        <v>334</v>
      </c>
      <c r="C27" s="22">
        <v>481</v>
      </c>
      <c r="D27" s="22" t="s">
        <v>250</v>
      </c>
      <c r="E27" s="22">
        <v>2</v>
      </c>
      <c r="F27" s="22">
        <v>370</v>
      </c>
      <c r="G27" s="22" t="s">
        <v>335</v>
      </c>
      <c r="H27" s="22" t="s">
        <v>252</v>
      </c>
      <c r="I27" s="34">
        <v>46005</v>
      </c>
      <c r="J27" s="34">
        <v>46006</v>
      </c>
      <c r="K27" s="22" t="s">
        <v>246</v>
      </c>
    </row>
    <row r="28" spans="1:11" x14ac:dyDescent="0.25">
      <c r="A28" s="22" t="s">
        <v>336</v>
      </c>
      <c r="B28" s="22" t="s">
        <v>337</v>
      </c>
      <c r="C28" s="22">
        <v>494</v>
      </c>
      <c r="D28" s="22" t="s">
        <v>255</v>
      </c>
      <c r="E28" s="22">
        <v>3</v>
      </c>
      <c r="F28" s="22">
        <v>380</v>
      </c>
      <c r="G28" s="22" t="s">
        <v>338</v>
      </c>
      <c r="H28" s="22" t="s">
        <v>257</v>
      </c>
      <c r="I28" s="34">
        <v>46004</v>
      </c>
      <c r="J28" s="34">
        <v>46005</v>
      </c>
      <c r="K28" s="22" t="s">
        <v>245</v>
      </c>
    </row>
    <row r="29" spans="1:11" x14ac:dyDescent="0.25">
      <c r="A29" s="22" t="s">
        <v>339</v>
      </c>
      <c r="B29" s="22" t="s">
        <v>340</v>
      </c>
      <c r="C29" s="22">
        <v>507</v>
      </c>
      <c r="D29" s="22" t="s">
        <v>260</v>
      </c>
      <c r="E29" s="22">
        <v>4</v>
      </c>
      <c r="F29" s="22">
        <v>390</v>
      </c>
      <c r="G29" s="22" t="s">
        <v>341</v>
      </c>
      <c r="H29" s="22" t="s">
        <v>262</v>
      </c>
      <c r="I29" s="34">
        <v>46003</v>
      </c>
      <c r="J29" s="34">
        <v>46004</v>
      </c>
      <c r="K29" s="22" t="s">
        <v>244</v>
      </c>
    </row>
    <row r="30" spans="1:11" x14ac:dyDescent="0.25">
      <c r="A30" s="22" t="s">
        <v>342</v>
      </c>
      <c r="B30" s="22" t="s">
        <v>343</v>
      </c>
      <c r="C30" s="22">
        <v>520</v>
      </c>
      <c r="D30" s="22" t="s">
        <v>265</v>
      </c>
      <c r="E30" s="22">
        <v>5</v>
      </c>
      <c r="F30" s="22">
        <v>400</v>
      </c>
      <c r="G30" s="22" t="s">
        <v>344</v>
      </c>
      <c r="H30" s="22" t="s">
        <v>267</v>
      </c>
      <c r="I30" s="34">
        <v>46002</v>
      </c>
      <c r="J30" s="34">
        <v>46003</v>
      </c>
      <c r="K30" s="22" t="s">
        <v>243</v>
      </c>
    </row>
    <row r="31" spans="1:11" x14ac:dyDescent="0.25">
      <c r="A31" s="22" t="s">
        <v>345</v>
      </c>
      <c r="B31" s="22" t="s">
        <v>346</v>
      </c>
      <c r="C31" s="22">
        <v>533</v>
      </c>
      <c r="D31" s="22" t="s">
        <v>270</v>
      </c>
      <c r="E31" s="22">
        <v>1</v>
      </c>
      <c r="F31" s="22">
        <v>410</v>
      </c>
      <c r="G31" s="22" t="s">
        <v>347</v>
      </c>
      <c r="H31" s="22" t="s">
        <v>272</v>
      </c>
      <c r="I31" s="34">
        <v>46001</v>
      </c>
      <c r="J31" s="34">
        <v>46002</v>
      </c>
      <c r="K31" s="22" t="s">
        <v>247</v>
      </c>
    </row>
    <row r="32" spans="1:11" x14ac:dyDescent="0.25">
      <c r="A32" s="22" t="s">
        <v>348</v>
      </c>
      <c r="B32" s="22" t="s">
        <v>349</v>
      </c>
      <c r="C32" s="22">
        <v>546</v>
      </c>
      <c r="D32" s="22" t="s">
        <v>250</v>
      </c>
      <c r="E32" s="22">
        <v>2</v>
      </c>
      <c r="F32" s="22">
        <v>420</v>
      </c>
      <c r="G32" s="22" t="s">
        <v>350</v>
      </c>
      <c r="H32" s="22" t="s">
        <v>252</v>
      </c>
      <c r="I32" s="34">
        <v>46000</v>
      </c>
      <c r="J32" s="34">
        <v>46001</v>
      </c>
      <c r="K32" s="22" t="s">
        <v>246</v>
      </c>
    </row>
    <row r="33" spans="1:11" x14ac:dyDescent="0.25">
      <c r="A33" s="22" t="s">
        <v>351</v>
      </c>
      <c r="B33" s="22" t="s">
        <v>352</v>
      </c>
      <c r="C33" s="22">
        <v>559</v>
      </c>
      <c r="D33" s="22" t="s">
        <v>255</v>
      </c>
      <c r="E33" s="22">
        <v>3</v>
      </c>
      <c r="F33" s="22">
        <v>430</v>
      </c>
      <c r="G33" s="22" t="s">
        <v>353</v>
      </c>
      <c r="H33" s="22" t="s">
        <v>257</v>
      </c>
      <c r="I33" s="34">
        <v>45999</v>
      </c>
      <c r="J33" s="34">
        <v>46000</v>
      </c>
      <c r="K33" s="22" t="s">
        <v>245</v>
      </c>
    </row>
    <row r="34" spans="1:11" x14ac:dyDescent="0.25">
      <c r="A34" s="22" t="s">
        <v>354</v>
      </c>
      <c r="B34" s="22" t="s">
        <v>355</v>
      </c>
      <c r="C34" s="22">
        <v>572</v>
      </c>
      <c r="D34" s="22" t="s">
        <v>260</v>
      </c>
      <c r="E34" s="22">
        <v>4</v>
      </c>
      <c r="F34" s="22">
        <v>440</v>
      </c>
      <c r="G34" s="22" t="s">
        <v>356</v>
      </c>
      <c r="H34" s="22" t="s">
        <v>262</v>
      </c>
      <c r="I34" s="34">
        <v>45998</v>
      </c>
      <c r="J34" s="34">
        <v>45999</v>
      </c>
      <c r="K34" s="22" t="s">
        <v>244</v>
      </c>
    </row>
    <row r="35" spans="1:11" x14ac:dyDescent="0.25">
      <c r="A35" s="22" t="s">
        <v>357</v>
      </c>
      <c r="B35" s="22" t="s">
        <v>358</v>
      </c>
      <c r="C35" s="22">
        <v>585</v>
      </c>
      <c r="D35" s="22" t="s">
        <v>265</v>
      </c>
      <c r="E35" s="22">
        <v>5</v>
      </c>
      <c r="F35" s="22">
        <v>450</v>
      </c>
      <c r="G35" s="22" t="s">
        <v>359</v>
      </c>
      <c r="H35" s="22" t="s">
        <v>267</v>
      </c>
      <c r="I35" s="34">
        <v>45997</v>
      </c>
      <c r="J35" s="34">
        <v>45998</v>
      </c>
      <c r="K35" s="22" t="s">
        <v>243</v>
      </c>
    </row>
    <row r="36" spans="1:11" x14ac:dyDescent="0.25">
      <c r="A36" s="22" t="s">
        <v>360</v>
      </c>
      <c r="B36" s="22" t="s">
        <v>361</v>
      </c>
      <c r="C36" s="22">
        <v>598</v>
      </c>
      <c r="D36" s="22" t="s">
        <v>270</v>
      </c>
      <c r="E36" s="22">
        <v>1</v>
      </c>
      <c r="F36" s="22">
        <v>460</v>
      </c>
      <c r="G36" s="22" t="s">
        <v>362</v>
      </c>
      <c r="H36" s="22" t="s">
        <v>272</v>
      </c>
      <c r="I36" s="34">
        <v>45996</v>
      </c>
      <c r="J36" s="34">
        <v>45997</v>
      </c>
      <c r="K36" s="22" t="s">
        <v>247</v>
      </c>
    </row>
    <row r="37" spans="1:11" x14ac:dyDescent="0.25">
      <c r="A37" s="22" t="s">
        <v>363</v>
      </c>
      <c r="B37" s="22" t="s">
        <v>364</v>
      </c>
      <c r="C37" s="22">
        <v>611</v>
      </c>
      <c r="D37" s="22" t="s">
        <v>250</v>
      </c>
      <c r="E37" s="22">
        <v>2</v>
      </c>
      <c r="F37" s="22">
        <v>470</v>
      </c>
      <c r="G37" s="22" t="s">
        <v>365</v>
      </c>
      <c r="H37" s="22" t="s">
        <v>252</v>
      </c>
      <c r="I37" s="34">
        <v>45995</v>
      </c>
      <c r="J37" s="34">
        <v>45996</v>
      </c>
      <c r="K37" s="22" t="s">
        <v>246</v>
      </c>
    </row>
    <row r="38" spans="1:11" x14ac:dyDescent="0.25">
      <c r="A38" s="22" t="s">
        <v>366</v>
      </c>
      <c r="B38" s="22" t="s">
        <v>367</v>
      </c>
      <c r="C38" s="22">
        <v>624</v>
      </c>
      <c r="D38" s="22" t="s">
        <v>255</v>
      </c>
      <c r="E38" s="22">
        <v>3</v>
      </c>
      <c r="F38" s="22">
        <v>480</v>
      </c>
      <c r="G38" s="22" t="s">
        <v>368</v>
      </c>
      <c r="H38" s="22" t="s">
        <v>257</v>
      </c>
      <c r="I38" s="34">
        <v>45994</v>
      </c>
      <c r="J38" s="34">
        <v>45995</v>
      </c>
      <c r="K38" s="22" t="s">
        <v>245</v>
      </c>
    </row>
    <row r="39" spans="1:11" x14ac:dyDescent="0.25">
      <c r="A39" s="22" t="s">
        <v>369</v>
      </c>
      <c r="B39" s="22" t="s">
        <v>370</v>
      </c>
      <c r="C39" s="22">
        <v>637</v>
      </c>
      <c r="D39" s="22" t="s">
        <v>260</v>
      </c>
      <c r="E39" s="22">
        <v>4</v>
      </c>
      <c r="F39" s="22">
        <v>490</v>
      </c>
      <c r="G39" s="22" t="s">
        <v>371</v>
      </c>
      <c r="H39" s="22" t="s">
        <v>262</v>
      </c>
      <c r="I39" s="34">
        <v>45993</v>
      </c>
      <c r="J39" s="34">
        <v>45994</v>
      </c>
      <c r="K39" s="22" t="s">
        <v>244</v>
      </c>
    </row>
    <row r="40" spans="1:11" x14ac:dyDescent="0.25">
      <c r="A40" s="22" t="s">
        <v>372</v>
      </c>
      <c r="B40" s="22" t="s">
        <v>238</v>
      </c>
      <c r="C40" s="22">
        <v>650</v>
      </c>
      <c r="D40" s="22" t="s">
        <v>265</v>
      </c>
      <c r="E40" s="22">
        <v>5</v>
      </c>
      <c r="F40" s="22">
        <v>500</v>
      </c>
      <c r="G40" s="22" t="s">
        <v>373</v>
      </c>
      <c r="H40" s="22" t="s">
        <v>267</v>
      </c>
      <c r="I40" s="34">
        <v>45992</v>
      </c>
      <c r="J40" s="34">
        <v>45993</v>
      </c>
      <c r="K40" s="22" t="s">
        <v>243</v>
      </c>
    </row>
    <row r="41" spans="1:11" x14ac:dyDescent="0.25">
      <c r="A41" s="22" t="s">
        <v>374</v>
      </c>
      <c r="B41" s="22" t="s">
        <v>375</v>
      </c>
      <c r="C41" s="22">
        <v>663</v>
      </c>
      <c r="D41" s="22" t="s">
        <v>270</v>
      </c>
      <c r="E41" s="22">
        <v>1</v>
      </c>
      <c r="F41" s="22">
        <v>510</v>
      </c>
      <c r="G41" s="22" t="s">
        <v>376</v>
      </c>
      <c r="H41" s="22" t="s">
        <v>272</v>
      </c>
      <c r="I41" s="34">
        <v>45991</v>
      </c>
      <c r="J41" s="34">
        <v>45992</v>
      </c>
      <c r="K41" s="22" t="s">
        <v>247</v>
      </c>
    </row>
    <row r="42" spans="1:11" x14ac:dyDescent="0.25">
      <c r="A42" s="22" t="s">
        <v>377</v>
      </c>
      <c r="B42" s="22" t="s">
        <v>378</v>
      </c>
      <c r="C42" s="22">
        <v>676</v>
      </c>
      <c r="D42" s="22" t="s">
        <v>250</v>
      </c>
      <c r="E42" s="22">
        <v>2</v>
      </c>
      <c r="F42" s="22">
        <v>520</v>
      </c>
      <c r="G42" s="22" t="s">
        <v>379</v>
      </c>
      <c r="H42" s="22" t="s">
        <v>252</v>
      </c>
      <c r="I42" s="34">
        <v>45990</v>
      </c>
      <c r="J42" s="34">
        <v>45991</v>
      </c>
      <c r="K42" s="22" t="s">
        <v>246</v>
      </c>
    </row>
    <row r="43" spans="1:11" x14ac:dyDescent="0.25">
      <c r="A43" s="22" t="s">
        <v>380</v>
      </c>
      <c r="B43" s="22" t="s">
        <v>381</v>
      </c>
      <c r="C43" s="22">
        <v>689</v>
      </c>
      <c r="D43" s="22" t="s">
        <v>255</v>
      </c>
      <c r="E43" s="22">
        <v>3</v>
      </c>
      <c r="F43" s="22">
        <v>530</v>
      </c>
      <c r="G43" s="22" t="s">
        <v>382</v>
      </c>
      <c r="H43" s="22" t="s">
        <v>257</v>
      </c>
      <c r="I43" s="34">
        <v>45989</v>
      </c>
      <c r="J43" s="34">
        <v>45990</v>
      </c>
      <c r="K43" s="22" t="s">
        <v>245</v>
      </c>
    </row>
    <row r="44" spans="1:11" x14ac:dyDescent="0.25">
      <c r="A44" s="22" t="s">
        <v>383</v>
      </c>
      <c r="B44" s="22" t="s">
        <v>384</v>
      </c>
      <c r="C44" s="22">
        <v>702</v>
      </c>
      <c r="D44" s="22" t="s">
        <v>260</v>
      </c>
      <c r="E44" s="22">
        <v>4</v>
      </c>
      <c r="F44" s="22">
        <v>540</v>
      </c>
      <c r="G44" s="22" t="s">
        <v>385</v>
      </c>
      <c r="H44" s="22" t="s">
        <v>262</v>
      </c>
      <c r="I44" s="34">
        <v>45988</v>
      </c>
      <c r="J44" s="34">
        <v>45989</v>
      </c>
      <c r="K44" s="22" t="s">
        <v>244</v>
      </c>
    </row>
    <row r="45" spans="1:11" x14ac:dyDescent="0.25">
      <c r="A45" s="22" t="s">
        <v>386</v>
      </c>
      <c r="B45" s="22" t="s">
        <v>232</v>
      </c>
      <c r="C45" s="22">
        <v>715</v>
      </c>
      <c r="D45" s="22" t="s">
        <v>265</v>
      </c>
      <c r="E45" s="22">
        <v>5</v>
      </c>
      <c r="F45" s="22">
        <v>550</v>
      </c>
      <c r="G45" s="22" t="s">
        <v>387</v>
      </c>
      <c r="H45" s="22" t="s">
        <v>267</v>
      </c>
      <c r="I45" s="34">
        <v>45987</v>
      </c>
      <c r="J45" s="34">
        <v>45988</v>
      </c>
      <c r="K45" s="22" t="s">
        <v>243</v>
      </c>
    </row>
    <row r="46" spans="1:11" x14ac:dyDescent="0.25">
      <c r="A46" s="22" t="s">
        <v>388</v>
      </c>
      <c r="B46" s="22" t="s">
        <v>389</v>
      </c>
      <c r="C46" s="22">
        <v>728</v>
      </c>
      <c r="D46" s="22" t="s">
        <v>270</v>
      </c>
      <c r="E46" s="22">
        <v>1</v>
      </c>
      <c r="F46" s="22">
        <v>560</v>
      </c>
      <c r="G46" s="22" t="s">
        <v>390</v>
      </c>
      <c r="H46" s="22" t="s">
        <v>272</v>
      </c>
      <c r="I46" s="34">
        <v>45986</v>
      </c>
      <c r="J46" s="34">
        <v>45987</v>
      </c>
      <c r="K46" s="22" t="s">
        <v>247</v>
      </c>
    </row>
    <row r="47" spans="1:11" x14ac:dyDescent="0.25">
      <c r="A47" s="22" t="s">
        <v>391</v>
      </c>
      <c r="B47" s="22" t="s">
        <v>392</v>
      </c>
      <c r="C47" s="22">
        <v>741</v>
      </c>
      <c r="D47" s="22" t="s">
        <v>250</v>
      </c>
      <c r="E47" s="22">
        <v>2</v>
      </c>
      <c r="F47" s="22">
        <v>570</v>
      </c>
      <c r="G47" s="22" t="s">
        <v>393</v>
      </c>
      <c r="H47" s="22" t="s">
        <v>252</v>
      </c>
      <c r="I47" s="34">
        <v>45985</v>
      </c>
      <c r="J47" s="34">
        <v>45986</v>
      </c>
      <c r="K47" s="22" t="s">
        <v>246</v>
      </c>
    </row>
    <row r="48" spans="1:11" x14ac:dyDescent="0.25">
      <c r="A48" s="22" t="s">
        <v>394</v>
      </c>
      <c r="B48" s="22" t="s">
        <v>395</v>
      </c>
      <c r="C48" s="22">
        <v>754</v>
      </c>
      <c r="D48" s="22" t="s">
        <v>255</v>
      </c>
      <c r="E48" s="22">
        <v>3</v>
      </c>
      <c r="F48" s="22">
        <v>580</v>
      </c>
      <c r="G48" s="22" t="s">
        <v>396</v>
      </c>
      <c r="H48" s="22" t="s">
        <v>257</v>
      </c>
      <c r="I48" s="34">
        <v>45984</v>
      </c>
      <c r="J48" s="34">
        <v>45985</v>
      </c>
      <c r="K48" s="22" t="s">
        <v>245</v>
      </c>
    </row>
    <row r="49" spans="1:11" x14ac:dyDescent="0.25">
      <c r="A49" s="22" t="s">
        <v>397</v>
      </c>
      <c r="B49" s="22" t="s">
        <v>398</v>
      </c>
      <c r="C49" s="22">
        <v>767</v>
      </c>
      <c r="D49" s="22" t="s">
        <v>260</v>
      </c>
      <c r="E49" s="22">
        <v>4</v>
      </c>
      <c r="F49" s="22">
        <v>590</v>
      </c>
      <c r="G49" s="22" t="s">
        <v>399</v>
      </c>
      <c r="H49" s="22" t="s">
        <v>262</v>
      </c>
      <c r="I49" s="34">
        <v>45983</v>
      </c>
      <c r="J49" s="34">
        <v>45984</v>
      </c>
      <c r="K49" s="22" t="s">
        <v>244</v>
      </c>
    </row>
    <row r="50" spans="1:11" x14ac:dyDescent="0.25">
      <c r="A50" s="22" t="s">
        <v>400</v>
      </c>
      <c r="B50" s="22" t="s">
        <v>401</v>
      </c>
      <c r="C50" s="22">
        <v>130</v>
      </c>
      <c r="D50" s="22" t="s">
        <v>265</v>
      </c>
      <c r="E50" s="22">
        <v>5</v>
      </c>
      <c r="F50" s="22">
        <v>100</v>
      </c>
      <c r="G50" s="22" t="s">
        <v>402</v>
      </c>
      <c r="H50" s="22" t="s">
        <v>267</v>
      </c>
      <c r="I50" s="34">
        <v>45982</v>
      </c>
      <c r="J50" s="34">
        <v>45983</v>
      </c>
      <c r="K50" s="22" t="s">
        <v>243</v>
      </c>
    </row>
    <row r="51" spans="1:11" x14ac:dyDescent="0.25">
      <c r="A51" s="22" t="s">
        <v>403</v>
      </c>
      <c r="B51" s="22" t="s">
        <v>404</v>
      </c>
      <c r="C51" s="22">
        <v>143</v>
      </c>
      <c r="D51" s="22" t="s">
        <v>270</v>
      </c>
      <c r="E51" s="22">
        <v>1</v>
      </c>
      <c r="F51" s="22">
        <v>110</v>
      </c>
      <c r="G51" s="22" t="s">
        <v>405</v>
      </c>
      <c r="H51" s="22" t="s">
        <v>272</v>
      </c>
      <c r="I51" s="34">
        <v>45981</v>
      </c>
      <c r="J51" s="34">
        <v>45982</v>
      </c>
      <c r="K51" s="22" t="s">
        <v>247</v>
      </c>
    </row>
    <row r="52" spans="1:11" x14ac:dyDescent="0.25">
      <c r="A52" s="22" t="s">
        <v>406</v>
      </c>
      <c r="B52" s="22" t="s">
        <v>407</v>
      </c>
      <c r="C52" s="22">
        <v>156</v>
      </c>
      <c r="D52" s="22" t="s">
        <v>250</v>
      </c>
      <c r="E52" s="22">
        <v>2</v>
      </c>
      <c r="F52" s="22">
        <v>120</v>
      </c>
      <c r="G52" s="22" t="s">
        <v>408</v>
      </c>
      <c r="H52" s="22" t="s">
        <v>252</v>
      </c>
      <c r="I52" s="34">
        <v>45980</v>
      </c>
      <c r="J52" s="34">
        <v>45981</v>
      </c>
      <c r="K52" s="22" t="s">
        <v>246</v>
      </c>
    </row>
    <row r="53" spans="1:11" x14ac:dyDescent="0.25">
      <c r="A53" s="22" t="s">
        <v>409</v>
      </c>
      <c r="B53" s="22" t="s">
        <v>410</v>
      </c>
      <c r="C53" s="22">
        <v>169</v>
      </c>
      <c r="D53" s="22" t="s">
        <v>255</v>
      </c>
      <c r="E53" s="22">
        <v>3</v>
      </c>
      <c r="F53" s="22">
        <v>130</v>
      </c>
      <c r="G53" s="22" t="s">
        <v>411</v>
      </c>
      <c r="H53" s="22" t="s">
        <v>257</v>
      </c>
      <c r="I53" s="34">
        <v>45979</v>
      </c>
      <c r="J53" s="34">
        <v>45980</v>
      </c>
      <c r="K53" s="22" t="s">
        <v>245</v>
      </c>
    </row>
    <row r="54" spans="1:11" x14ac:dyDescent="0.25">
      <c r="A54" s="22" t="s">
        <v>412</v>
      </c>
      <c r="B54" s="22" t="s">
        <v>413</v>
      </c>
      <c r="C54" s="22">
        <v>182</v>
      </c>
      <c r="D54" s="22" t="s">
        <v>260</v>
      </c>
      <c r="E54" s="22">
        <v>4</v>
      </c>
      <c r="F54" s="22">
        <v>140</v>
      </c>
      <c r="G54" s="22" t="s">
        <v>414</v>
      </c>
      <c r="H54" s="22" t="s">
        <v>262</v>
      </c>
      <c r="I54" s="34">
        <v>45978</v>
      </c>
      <c r="J54" s="34">
        <v>45979</v>
      </c>
      <c r="K54" s="22" t="s">
        <v>244</v>
      </c>
    </row>
    <row r="55" spans="1:11" x14ac:dyDescent="0.25">
      <c r="A55" s="22" t="s">
        <v>415</v>
      </c>
      <c r="B55" s="22" t="s">
        <v>416</v>
      </c>
      <c r="C55" s="22">
        <v>195</v>
      </c>
      <c r="D55" s="22" t="s">
        <v>265</v>
      </c>
      <c r="E55" s="22">
        <v>5</v>
      </c>
      <c r="F55" s="22">
        <v>150</v>
      </c>
      <c r="G55" s="22" t="s">
        <v>417</v>
      </c>
      <c r="H55" s="22" t="s">
        <v>267</v>
      </c>
      <c r="I55" s="34">
        <v>45977</v>
      </c>
      <c r="J55" s="34">
        <v>45978</v>
      </c>
      <c r="K55" s="22" t="s">
        <v>243</v>
      </c>
    </row>
    <row r="56" spans="1:11" x14ac:dyDescent="0.25">
      <c r="A56" s="22" t="s">
        <v>418</v>
      </c>
      <c r="B56" s="22" t="s">
        <v>419</v>
      </c>
      <c r="C56" s="22">
        <v>208</v>
      </c>
      <c r="D56" s="22" t="s">
        <v>270</v>
      </c>
      <c r="E56" s="22">
        <v>1</v>
      </c>
      <c r="F56" s="22">
        <v>160</v>
      </c>
      <c r="G56" s="22" t="s">
        <v>420</v>
      </c>
      <c r="H56" s="22" t="s">
        <v>272</v>
      </c>
      <c r="I56" s="34">
        <v>45976</v>
      </c>
      <c r="J56" s="34">
        <v>45977</v>
      </c>
      <c r="K56" s="22" t="s">
        <v>247</v>
      </c>
    </row>
    <row r="57" spans="1:11" x14ac:dyDescent="0.25">
      <c r="A57" s="22" t="s">
        <v>421</v>
      </c>
      <c r="B57" s="22" t="s">
        <v>422</v>
      </c>
      <c r="C57" s="22">
        <v>221</v>
      </c>
      <c r="D57" s="22" t="s">
        <v>250</v>
      </c>
      <c r="E57" s="22">
        <v>2</v>
      </c>
      <c r="F57" s="22">
        <v>170</v>
      </c>
      <c r="G57" s="22" t="s">
        <v>423</v>
      </c>
      <c r="H57" s="22" t="s">
        <v>252</v>
      </c>
      <c r="I57" s="34">
        <v>45975</v>
      </c>
      <c r="J57" s="34">
        <v>45976</v>
      </c>
      <c r="K57" s="22" t="s">
        <v>246</v>
      </c>
    </row>
    <row r="58" spans="1:11" x14ac:dyDescent="0.25">
      <c r="A58" s="22" t="s">
        <v>424</v>
      </c>
      <c r="B58" s="22" t="s">
        <v>425</v>
      </c>
      <c r="C58" s="22">
        <v>234</v>
      </c>
      <c r="D58" s="22" t="s">
        <v>255</v>
      </c>
      <c r="E58" s="22">
        <v>3</v>
      </c>
      <c r="F58" s="22">
        <v>180</v>
      </c>
      <c r="G58" s="22" t="s">
        <v>426</v>
      </c>
      <c r="H58" s="22" t="s">
        <v>257</v>
      </c>
      <c r="I58" s="34">
        <v>45974</v>
      </c>
      <c r="J58" s="34">
        <v>45975</v>
      </c>
      <c r="K58" s="22" t="s">
        <v>245</v>
      </c>
    </row>
    <row r="59" spans="1:11" x14ac:dyDescent="0.25">
      <c r="A59" s="22" t="s">
        <v>427</v>
      </c>
      <c r="B59" s="22" t="s">
        <v>428</v>
      </c>
      <c r="C59" s="22">
        <v>247</v>
      </c>
      <c r="D59" s="22" t="s">
        <v>260</v>
      </c>
      <c r="E59" s="22">
        <v>4</v>
      </c>
      <c r="F59" s="22">
        <v>190</v>
      </c>
      <c r="G59" s="22" t="s">
        <v>429</v>
      </c>
      <c r="H59" s="22" t="s">
        <v>262</v>
      </c>
      <c r="I59" s="34">
        <v>45973</v>
      </c>
      <c r="J59" s="34">
        <v>45974</v>
      </c>
      <c r="K59" s="22" t="s">
        <v>244</v>
      </c>
    </row>
    <row r="60" spans="1:11" x14ac:dyDescent="0.25">
      <c r="A60" s="22" t="s">
        <v>430</v>
      </c>
      <c r="B60" s="22" t="s">
        <v>431</v>
      </c>
      <c r="C60" s="22">
        <v>260</v>
      </c>
      <c r="D60" s="22" t="s">
        <v>265</v>
      </c>
      <c r="E60" s="22">
        <v>5</v>
      </c>
      <c r="F60" s="22">
        <v>200</v>
      </c>
      <c r="G60" s="22" t="s">
        <v>432</v>
      </c>
      <c r="H60" s="22" t="s">
        <v>267</v>
      </c>
      <c r="I60" s="34">
        <v>45972</v>
      </c>
      <c r="J60" s="34">
        <v>45973</v>
      </c>
      <c r="K60" s="22" t="s">
        <v>243</v>
      </c>
    </row>
    <row r="61" spans="1:11" x14ac:dyDescent="0.25">
      <c r="A61" s="22" t="s">
        <v>433</v>
      </c>
      <c r="B61" s="22" t="s">
        <v>434</v>
      </c>
      <c r="C61" s="22">
        <v>273</v>
      </c>
      <c r="D61" s="22" t="s">
        <v>270</v>
      </c>
      <c r="E61" s="22">
        <v>1</v>
      </c>
      <c r="F61" s="22">
        <v>210</v>
      </c>
      <c r="G61" s="22" t="s">
        <v>435</v>
      </c>
      <c r="H61" s="22" t="s">
        <v>272</v>
      </c>
      <c r="I61" s="34">
        <v>45971</v>
      </c>
      <c r="J61" s="34">
        <v>45972</v>
      </c>
      <c r="K61" s="22" t="s">
        <v>247</v>
      </c>
    </row>
    <row r="62" spans="1:11" x14ac:dyDescent="0.25">
      <c r="A62" s="22" t="s">
        <v>436</v>
      </c>
      <c r="B62" s="22" t="s">
        <v>437</v>
      </c>
      <c r="C62" s="22">
        <v>286</v>
      </c>
      <c r="D62" s="22" t="s">
        <v>250</v>
      </c>
      <c r="E62" s="22">
        <v>2</v>
      </c>
      <c r="F62" s="22">
        <v>220</v>
      </c>
      <c r="G62" s="22" t="s">
        <v>438</v>
      </c>
      <c r="H62" s="22" t="s">
        <v>252</v>
      </c>
      <c r="I62" s="34">
        <v>45970</v>
      </c>
      <c r="J62" s="34">
        <v>45971</v>
      </c>
      <c r="K62" s="22" t="s">
        <v>246</v>
      </c>
    </row>
    <row r="63" spans="1:11" x14ac:dyDescent="0.25">
      <c r="A63" s="22" t="s">
        <v>439</v>
      </c>
      <c r="B63" s="22" t="s">
        <v>440</v>
      </c>
      <c r="C63" s="22">
        <v>299</v>
      </c>
      <c r="D63" s="22" t="s">
        <v>255</v>
      </c>
      <c r="E63" s="22">
        <v>3</v>
      </c>
      <c r="F63" s="22">
        <v>230</v>
      </c>
      <c r="G63" s="22" t="s">
        <v>441</v>
      </c>
      <c r="H63" s="22" t="s">
        <v>257</v>
      </c>
      <c r="I63" s="34">
        <v>45969</v>
      </c>
      <c r="J63" s="34">
        <v>45970</v>
      </c>
      <c r="K63" s="22" t="s">
        <v>245</v>
      </c>
    </row>
    <row r="64" spans="1:11" x14ac:dyDescent="0.25">
      <c r="A64" s="22" t="s">
        <v>442</v>
      </c>
      <c r="B64" s="22" t="s">
        <v>443</v>
      </c>
      <c r="C64" s="22">
        <v>312</v>
      </c>
      <c r="D64" s="22" t="s">
        <v>260</v>
      </c>
      <c r="E64" s="22">
        <v>4</v>
      </c>
      <c r="F64" s="22">
        <v>240</v>
      </c>
      <c r="G64" s="22" t="s">
        <v>444</v>
      </c>
      <c r="H64" s="22" t="s">
        <v>262</v>
      </c>
      <c r="I64" s="34">
        <v>45968</v>
      </c>
      <c r="J64" s="34">
        <v>45969</v>
      </c>
      <c r="K64" s="22" t="s">
        <v>244</v>
      </c>
    </row>
    <row r="65" spans="1:11" x14ac:dyDescent="0.25">
      <c r="A65" s="22" t="s">
        <v>445</v>
      </c>
      <c r="B65" s="22" t="s">
        <v>446</v>
      </c>
      <c r="C65" s="22">
        <v>325</v>
      </c>
      <c r="D65" s="22" t="s">
        <v>265</v>
      </c>
      <c r="E65" s="22">
        <v>5</v>
      </c>
      <c r="F65" s="22">
        <v>250</v>
      </c>
      <c r="G65" s="22" t="s">
        <v>447</v>
      </c>
      <c r="H65" s="22" t="s">
        <v>267</v>
      </c>
      <c r="I65" s="34">
        <v>45967</v>
      </c>
      <c r="J65" s="34">
        <v>45968</v>
      </c>
      <c r="K65" s="22" t="s">
        <v>243</v>
      </c>
    </row>
    <row r="66" spans="1:11" x14ac:dyDescent="0.25">
      <c r="A66" s="22" t="s">
        <v>448</v>
      </c>
      <c r="B66" s="22" t="s">
        <v>449</v>
      </c>
      <c r="C66" s="22">
        <v>338</v>
      </c>
      <c r="D66" s="22" t="s">
        <v>270</v>
      </c>
      <c r="E66" s="22">
        <v>1</v>
      </c>
      <c r="F66" s="22">
        <v>260</v>
      </c>
      <c r="G66" s="22" t="s">
        <v>450</v>
      </c>
      <c r="H66" s="22" t="s">
        <v>272</v>
      </c>
      <c r="I66" s="34">
        <v>45966</v>
      </c>
      <c r="J66" s="34">
        <v>45967</v>
      </c>
      <c r="K66" s="22" t="s">
        <v>247</v>
      </c>
    </row>
    <row r="67" spans="1:11" x14ac:dyDescent="0.25">
      <c r="A67" s="22" t="s">
        <v>451</v>
      </c>
      <c r="B67" s="22" t="s">
        <v>452</v>
      </c>
      <c r="C67" s="22">
        <v>351</v>
      </c>
      <c r="D67" s="22" t="s">
        <v>250</v>
      </c>
      <c r="E67" s="22">
        <v>2</v>
      </c>
      <c r="F67" s="22">
        <v>270</v>
      </c>
      <c r="G67" s="22" t="s">
        <v>453</v>
      </c>
      <c r="H67" s="22" t="s">
        <v>252</v>
      </c>
      <c r="I67" s="34">
        <v>45965</v>
      </c>
      <c r="J67" s="34">
        <v>45966</v>
      </c>
      <c r="K67" s="22" t="s">
        <v>246</v>
      </c>
    </row>
    <row r="68" spans="1:11" x14ac:dyDescent="0.25">
      <c r="A68" s="22" t="s">
        <v>454</v>
      </c>
      <c r="B68" s="22" t="s">
        <v>455</v>
      </c>
      <c r="C68" s="22">
        <v>364</v>
      </c>
      <c r="D68" s="22" t="s">
        <v>255</v>
      </c>
      <c r="E68" s="22">
        <v>3</v>
      </c>
      <c r="F68" s="22">
        <v>280</v>
      </c>
      <c r="G68" s="22" t="s">
        <v>456</v>
      </c>
      <c r="H68" s="22" t="s">
        <v>257</v>
      </c>
      <c r="I68" s="34">
        <v>45964</v>
      </c>
      <c r="J68" s="34">
        <v>45965</v>
      </c>
      <c r="K68" s="22" t="s">
        <v>245</v>
      </c>
    </row>
    <row r="69" spans="1:11" x14ac:dyDescent="0.25">
      <c r="A69" s="22" t="s">
        <v>457</v>
      </c>
      <c r="B69" s="22" t="s">
        <v>458</v>
      </c>
      <c r="C69" s="22">
        <v>377</v>
      </c>
      <c r="D69" s="22" t="s">
        <v>260</v>
      </c>
      <c r="E69" s="22">
        <v>4</v>
      </c>
      <c r="F69" s="22">
        <v>290</v>
      </c>
      <c r="G69" s="22" t="s">
        <v>459</v>
      </c>
      <c r="H69" s="22" t="s">
        <v>262</v>
      </c>
      <c r="I69" s="34">
        <v>45963</v>
      </c>
      <c r="J69" s="34">
        <v>45964</v>
      </c>
      <c r="K69" s="22" t="s">
        <v>244</v>
      </c>
    </row>
    <row r="70" spans="1:11" x14ac:dyDescent="0.25">
      <c r="A70" s="22" t="s">
        <v>460</v>
      </c>
      <c r="B70" s="22" t="s">
        <v>461</v>
      </c>
      <c r="C70" s="22">
        <v>390</v>
      </c>
      <c r="D70" s="22" t="s">
        <v>265</v>
      </c>
      <c r="E70" s="22">
        <v>5</v>
      </c>
      <c r="F70" s="22">
        <v>300</v>
      </c>
      <c r="G70" s="22" t="s">
        <v>462</v>
      </c>
      <c r="H70" s="22" t="s">
        <v>267</v>
      </c>
      <c r="I70" s="34">
        <v>45962</v>
      </c>
      <c r="J70" s="34">
        <v>45963</v>
      </c>
      <c r="K70" s="22" t="s">
        <v>243</v>
      </c>
    </row>
    <row r="71" spans="1:11" x14ac:dyDescent="0.25">
      <c r="A71" s="22" t="s">
        <v>463</v>
      </c>
      <c r="B71" s="22" t="s">
        <v>464</v>
      </c>
      <c r="C71" s="22">
        <v>403</v>
      </c>
      <c r="D71" s="22" t="s">
        <v>270</v>
      </c>
      <c r="E71" s="22">
        <v>1</v>
      </c>
      <c r="F71" s="22">
        <v>310</v>
      </c>
      <c r="G71" s="22" t="s">
        <v>465</v>
      </c>
      <c r="H71" s="22" t="s">
        <v>272</v>
      </c>
      <c r="I71" s="34">
        <v>45961</v>
      </c>
      <c r="J71" s="34">
        <v>45962</v>
      </c>
      <c r="K71" s="22" t="s">
        <v>247</v>
      </c>
    </row>
    <row r="72" spans="1:11" x14ac:dyDescent="0.25">
      <c r="A72" s="22" t="s">
        <v>466</v>
      </c>
      <c r="B72" s="22" t="s">
        <v>467</v>
      </c>
      <c r="C72" s="22">
        <v>416</v>
      </c>
      <c r="D72" s="22" t="s">
        <v>250</v>
      </c>
      <c r="E72" s="22">
        <v>2</v>
      </c>
      <c r="F72" s="22">
        <v>320</v>
      </c>
      <c r="G72" s="22" t="s">
        <v>468</v>
      </c>
      <c r="H72" s="22" t="s">
        <v>252</v>
      </c>
      <c r="I72" s="34">
        <v>45960</v>
      </c>
      <c r="J72" s="34">
        <v>45961</v>
      </c>
      <c r="K72" s="22" t="s">
        <v>246</v>
      </c>
    </row>
    <row r="73" spans="1:11" x14ac:dyDescent="0.25">
      <c r="A73" s="22" t="s">
        <v>469</v>
      </c>
      <c r="B73" s="22" t="s">
        <v>470</v>
      </c>
      <c r="C73" s="22">
        <v>429</v>
      </c>
      <c r="D73" s="22" t="s">
        <v>255</v>
      </c>
      <c r="E73" s="22">
        <v>3</v>
      </c>
      <c r="F73" s="22">
        <v>330</v>
      </c>
      <c r="G73" s="22" t="s">
        <v>471</v>
      </c>
      <c r="H73" s="22" t="s">
        <v>257</v>
      </c>
      <c r="I73" s="34">
        <v>45959</v>
      </c>
      <c r="J73" s="34">
        <v>45960</v>
      </c>
      <c r="K73" s="22" t="s">
        <v>245</v>
      </c>
    </row>
    <row r="74" spans="1:11" x14ac:dyDescent="0.25">
      <c r="A74" s="22" t="s">
        <v>472</v>
      </c>
      <c r="B74" s="22" t="s">
        <v>473</v>
      </c>
      <c r="C74" s="22">
        <v>442</v>
      </c>
      <c r="D74" s="22" t="s">
        <v>260</v>
      </c>
      <c r="E74" s="22">
        <v>4</v>
      </c>
      <c r="F74" s="22">
        <v>340</v>
      </c>
      <c r="G74" s="22" t="s">
        <v>474</v>
      </c>
      <c r="H74" s="22" t="s">
        <v>262</v>
      </c>
      <c r="I74" s="34">
        <v>45958</v>
      </c>
      <c r="J74" s="34">
        <v>45959</v>
      </c>
      <c r="K74" s="22" t="s">
        <v>244</v>
      </c>
    </row>
    <row r="75" spans="1:11" x14ac:dyDescent="0.25">
      <c r="A75" s="22" t="s">
        <v>475</v>
      </c>
      <c r="B75" s="22" t="s">
        <v>476</v>
      </c>
      <c r="C75" s="22">
        <v>455</v>
      </c>
      <c r="D75" s="22" t="s">
        <v>265</v>
      </c>
      <c r="E75" s="22">
        <v>5</v>
      </c>
      <c r="F75" s="22">
        <v>350</v>
      </c>
      <c r="G75" s="22" t="s">
        <v>477</v>
      </c>
      <c r="H75" s="22" t="s">
        <v>267</v>
      </c>
      <c r="I75" s="34">
        <v>45957</v>
      </c>
      <c r="J75" s="34">
        <v>45958</v>
      </c>
      <c r="K75" s="22" t="s">
        <v>243</v>
      </c>
    </row>
    <row r="76" spans="1:11" x14ac:dyDescent="0.25">
      <c r="A76" s="22" t="s">
        <v>478</v>
      </c>
      <c r="B76" s="22" t="s">
        <v>479</v>
      </c>
      <c r="C76" s="22">
        <v>468</v>
      </c>
      <c r="D76" s="22" t="s">
        <v>270</v>
      </c>
      <c r="E76" s="22">
        <v>1</v>
      </c>
      <c r="F76" s="22">
        <v>360</v>
      </c>
      <c r="G76" s="22" t="s">
        <v>480</v>
      </c>
      <c r="H76" s="22" t="s">
        <v>272</v>
      </c>
      <c r="I76" s="34">
        <v>45956</v>
      </c>
      <c r="J76" s="34">
        <v>45957</v>
      </c>
      <c r="K76" s="22" t="s">
        <v>247</v>
      </c>
    </row>
    <row r="77" spans="1:11" x14ac:dyDescent="0.25">
      <c r="A77" s="22" t="s">
        <v>481</v>
      </c>
      <c r="B77" s="22" t="s">
        <v>482</v>
      </c>
      <c r="C77" s="22">
        <v>481</v>
      </c>
      <c r="D77" s="22" t="s">
        <v>250</v>
      </c>
      <c r="E77" s="22">
        <v>2</v>
      </c>
      <c r="F77" s="22">
        <v>370</v>
      </c>
      <c r="G77" s="22" t="s">
        <v>483</v>
      </c>
      <c r="H77" s="22" t="s">
        <v>252</v>
      </c>
      <c r="I77" s="34">
        <v>45955</v>
      </c>
      <c r="J77" s="34">
        <v>45956</v>
      </c>
      <c r="K77" s="22" t="s">
        <v>246</v>
      </c>
    </row>
    <row r="78" spans="1:11" x14ac:dyDescent="0.25">
      <c r="A78" s="22" t="s">
        <v>484</v>
      </c>
      <c r="B78" s="22" t="s">
        <v>485</v>
      </c>
      <c r="C78" s="22">
        <v>494</v>
      </c>
      <c r="D78" s="22" t="s">
        <v>255</v>
      </c>
      <c r="E78" s="22">
        <v>3</v>
      </c>
      <c r="F78" s="22">
        <v>380</v>
      </c>
      <c r="G78" s="22" t="s">
        <v>486</v>
      </c>
      <c r="H78" s="22" t="s">
        <v>257</v>
      </c>
      <c r="I78" s="34">
        <v>45954</v>
      </c>
      <c r="J78" s="34">
        <v>45955</v>
      </c>
      <c r="K78" s="22" t="s">
        <v>245</v>
      </c>
    </row>
    <row r="79" spans="1:11" x14ac:dyDescent="0.25">
      <c r="A79" s="22" t="s">
        <v>487</v>
      </c>
      <c r="B79" s="22" t="s">
        <v>488</v>
      </c>
      <c r="C79" s="22">
        <v>507</v>
      </c>
      <c r="D79" s="22" t="s">
        <v>260</v>
      </c>
      <c r="E79" s="22">
        <v>4</v>
      </c>
      <c r="F79" s="22">
        <v>390</v>
      </c>
      <c r="G79" s="22" t="s">
        <v>489</v>
      </c>
      <c r="H79" s="22" t="s">
        <v>262</v>
      </c>
      <c r="I79" s="34">
        <v>45953</v>
      </c>
      <c r="J79" s="34">
        <v>45954</v>
      </c>
      <c r="K79" s="22" t="s">
        <v>244</v>
      </c>
    </row>
    <row r="80" spans="1:11" x14ac:dyDescent="0.25">
      <c r="A80" s="22" t="s">
        <v>490</v>
      </c>
      <c r="B80" s="22" t="s">
        <v>491</v>
      </c>
      <c r="C80" s="22">
        <v>520</v>
      </c>
      <c r="D80" s="22" t="s">
        <v>265</v>
      </c>
      <c r="E80" s="22">
        <v>5</v>
      </c>
      <c r="F80" s="22">
        <v>400</v>
      </c>
      <c r="G80" s="22" t="s">
        <v>492</v>
      </c>
      <c r="H80" s="22" t="s">
        <v>267</v>
      </c>
      <c r="I80" s="34">
        <v>45952</v>
      </c>
      <c r="J80" s="34">
        <v>45953</v>
      </c>
      <c r="K80" s="22" t="s">
        <v>243</v>
      </c>
    </row>
    <row r="81" spans="1:11" x14ac:dyDescent="0.25">
      <c r="A81" s="22" t="s">
        <v>493</v>
      </c>
      <c r="B81" s="22" t="s">
        <v>494</v>
      </c>
      <c r="C81" s="22">
        <v>533</v>
      </c>
      <c r="D81" s="22" t="s">
        <v>270</v>
      </c>
      <c r="E81" s="22">
        <v>1</v>
      </c>
      <c r="F81" s="22">
        <v>410</v>
      </c>
      <c r="G81" s="22" t="s">
        <v>495</v>
      </c>
      <c r="H81" s="22" t="s">
        <v>272</v>
      </c>
      <c r="I81" s="34">
        <v>45951</v>
      </c>
      <c r="J81" s="34">
        <v>45952</v>
      </c>
      <c r="K81" s="22" t="s">
        <v>247</v>
      </c>
    </row>
    <row r="82" spans="1:11" x14ac:dyDescent="0.25">
      <c r="A82" s="22" t="s">
        <v>496</v>
      </c>
      <c r="B82" s="22" t="s">
        <v>497</v>
      </c>
      <c r="C82" s="22">
        <v>546</v>
      </c>
      <c r="D82" s="22" t="s">
        <v>250</v>
      </c>
      <c r="E82" s="22">
        <v>2</v>
      </c>
      <c r="F82" s="22">
        <v>420</v>
      </c>
      <c r="G82" s="22" t="s">
        <v>498</v>
      </c>
      <c r="H82" s="22" t="s">
        <v>252</v>
      </c>
      <c r="I82" s="34">
        <v>45950</v>
      </c>
      <c r="J82" s="34">
        <v>45951</v>
      </c>
      <c r="K82" s="22" t="s">
        <v>246</v>
      </c>
    </row>
    <row r="83" spans="1:11" x14ac:dyDescent="0.25">
      <c r="A83" s="22" t="s">
        <v>499</v>
      </c>
      <c r="B83" s="22" t="s">
        <v>500</v>
      </c>
      <c r="C83" s="22">
        <v>559</v>
      </c>
      <c r="D83" s="22" t="s">
        <v>255</v>
      </c>
      <c r="E83" s="22">
        <v>3</v>
      </c>
      <c r="F83" s="22">
        <v>430</v>
      </c>
      <c r="G83" s="22" t="s">
        <v>501</v>
      </c>
      <c r="H83" s="22" t="s">
        <v>257</v>
      </c>
      <c r="I83" s="34">
        <v>45949</v>
      </c>
      <c r="J83" s="34">
        <v>45950</v>
      </c>
      <c r="K83" s="22" t="s">
        <v>245</v>
      </c>
    </row>
    <row r="84" spans="1:11" x14ac:dyDescent="0.25">
      <c r="A84" s="22" t="s">
        <v>502</v>
      </c>
      <c r="B84" s="22" t="s">
        <v>503</v>
      </c>
      <c r="C84" s="22">
        <v>572</v>
      </c>
      <c r="D84" s="22" t="s">
        <v>260</v>
      </c>
      <c r="E84" s="22">
        <v>4</v>
      </c>
      <c r="F84" s="22">
        <v>440</v>
      </c>
      <c r="G84" s="22" t="s">
        <v>504</v>
      </c>
      <c r="H84" s="22" t="s">
        <v>262</v>
      </c>
      <c r="I84" s="34">
        <v>45948</v>
      </c>
      <c r="J84" s="34">
        <v>45949</v>
      </c>
      <c r="K84" s="22" t="s">
        <v>244</v>
      </c>
    </row>
    <row r="85" spans="1:11" x14ac:dyDescent="0.25">
      <c r="A85" s="22" t="s">
        <v>505</v>
      </c>
      <c r="B85" s="22" t="s">
        <v>506</v>
      </c>
      <c r="C85" s="22">
        <v>585</v>
      </c>
      <c r="D85" s="22" t="s">
        <v>265</v>
      </c>
      <c r="E85" s="22">
        <v>5</v>
      </c>
      <c r="F85" s="22">
        <v>450</v>
      </c>
      <c r="G85" s="22" t="s">
        <v>507</v>
      </c>
      <c r="H85" s="22" t="s">
        <v>267</v>
      </c>
      <c r="I85" s="34">
        <v>45947</v>
      </c>
      <c r="J85" s="34">
        <v>45948</v>
      </c>
      <c r="K85" s="22" t="s">
        <v>243</v>
      </c>
    </row>
    <row r="86" spans="1:11" x14ac:dyDescent="0.25">
      <c r="A86" s="22" t="s">
        <v>508</v>
      </c>
      <c r="B86" s="22" t="s">
        <v>509</v>
      </c>
      <c r="C86" s="22">
        <v>598</v>
      </c>
      <c r="D86" s="22" t="s">
        <v>270</v>
      </c>
      <c r="E86" s="22">
        <v>1</v>
      </c>
      <c r="F86" s="22">
        <v>460</v>
      </c>
      <c r="G86" s="22" t="s">
        <v>510</v>
      </c>
      <c r="H86" s="22" t="s">
        <v>272</v>
      </c>
      <c r="I86" s="34">
        <v>45946</v>
      </c>
      <c r="J86" s="34">
        <v>45947</v>
      </c>
      <c r="K86" s="22" t="s">
        <v>247</v>
      </c>
    </row>
    <row r="87" spans="1:11" x14ac:dyDescent="0.25">
      <c r="A87" s="22" t="s">
        <v>511</v>
      </c>
      <c r="B87" s="22" t="s">
        <v>512</v>
      </c>
      <c r="C87" s="22">
        <v>611</v>
      </c>
      <c r="D87" s="22" t="s">
        <v>250</v>
      </c>
      <c r="E87" s="22">
        <v>2</v>
      </c>
      <c r="F87" s="22">
        <v>470</v>
      </c>
      <c r="G87" s="22" t="s">
        <v>513</v>
      </c>
      <c r="H87" s="22" t="s">
        <v>252</v>
      </c>
      <c r="I87" s="34">
        <v>45945</v>
      </c>
      <c r="J87" s="34">
        <v>45946</v>
      </c>
      <c r="K87" s="22" t="s">
        <v>246</v>
      </c>
    </row>
    <row r="88" spans="1:11" x14ac:dyDescent="0.25">
      <c r="A88" s="22" t="s">
        <v>514</v>
      </c>
      <c r="B88" s="22" t="s">
        <v>515</v>
      </c>
      <c r="C88" s="22">
        <v>624</v>
      </c>
      <c r="D88" s="22" t="s">
        <v>255</v>
      </c>
      <c r="E88" s="22">
        <v>3</v>
      </c>
      <c r="F88" s="22">
        <v>480</v>
      </c>
      <c r="G88" s="22" t="s">
        <v>516</v>
      </c>
      <c r="H88" s="22" t="s">
        <v>257</v>
      </c>
      <c r="I88" s="34">
        <v>45944</v>
      </c>
      <c r="J88" s="34">
        <v>45945</v>
      </c>
      <c r="K88" s="22" t="s">
        <v>245</v>
      </c>
    </row>
    <row r="89" spans="1:11" x14ac:dyDescent="0.25">
      <c r="A89" s="22" t="s">
        <v>517</v>
      </c>
      <c r="B89" s="22" t="s">
        <v>518</v>
      </c>
      <c r="C89" s="22">
        <v>637</v>
      </c>
      <c r="D89" s="22" t="s">
        <v>260</v>
      </c>
      <c r="E89" s="22">
        <v>4</v>
      </c>
      <c r="F89" s="22">
        <v>490</v>
      </c>
      <c r="G89" s="22" t="s">
        <v>519</v>
      </c>
      <c r="H89" s="22" t="s">
        <v>262</v>
      </c>
      <c r="I89" s="34">
        <v>45943</v>
      </c>
      <c r="J89" s="34">
        <v>45944</v>
      </c>
      <c r="K89" s="22" t="s">
        <v>244</v>
      </c>
    </row>
    <row r="90" spans="1:11" x14ac:dyDescent="0.25">
      <c r="A90" s="22" t="s">
        <v>520</v>
      </c>
      <c r="B90" s="22" t="s">
        <v>239</v>
      </c>
      <c r="C90" s="22">
        <v>650</v>
      </c>
      <c r="D90" s="22" t="s">
        <v>265</v>
      </c>
      <c r="E90" s="22">
        <v>5</v>
      </c>
      <c r="F90" s="22">
        <v>500</v>
      </c>
      <c r="G90" s="22" t="s">
        <v>521</v>
      </c>
      <c r="H90" s="22" t="s">
        <v>267</v>
      </c>
      <c r="I90" s="34">
        <v>45942</v>
      </c>
      <c r="J90" s="34">
        <v>45943</v>
      </c>
      <c r="K90" s="22" t="s">
        <v>243</v>
      </c>
    </row>
    <row r="91" spans="1:11" x14ac:dyDescent="0.25">
      <c r="A91" s="22" t="s">
        <v>522</v>
      </c>
      <c r="B91" s="22" t="s">
        <v>523</v>
      </c>
      <c r="C91" s="22">
        <v>663</v>
      </c>
      <c r="D91" s="22" t="s">
        <v>270</v>
      </c>
      <c r="E91" s="22">
        <v>1</v>
      </c>
      <c r="F91" s="22">
        <v>510</v>
      </c>
      <c r="G91" s="22" t="s">
        <v>524</v>
      </c>
      <c r="H91" s="22" t="s">
        <v>272</v>
      </c>
      <c r="I91" s="34">
        <v>45941</v>
      </c>
      <c r="J91" s="34">
        <v>45942</v>
      </c>
      <c r="K91" s="22" t="s">
        <v>247</v>
      </c>
    </row>
    <row r="92" spans="1:11" x14ac:dyDescent="0.25">
      <c r="A92" s="22" t="s">
        <v>525</v>
      </c>
      <c r="B92" s="22" t="s">
        <v>526</v>
      </c>
      <c r="C92" s="22">
        <v>676</v>
      </c>
      <c r="D92" s="22" t="s">
        <v>250</v>
      </c>
      <c r="E92" s="22">
        <v>2</v>
      </c>
      <c r="F92" s="22">
        <v>520</v>
      </c>
      <c r="G92" s="22" t="s">
        <v>527</v>
      </c>
      <c r="H92" s="22" t="s">
        <v>252</v>
      </c>
      <c r="I92" s="34">
        <v>45940</v>
      </c>
      <c r="J92" s="34">
        <v>45941</v>
      </c>
      <c r="K92" s="22" t="s">
        <v>246</v>
      </c>
    </row>
    <row r="93" spans="1:11" x14ac:dyDescent="0.25">
      <c r="A93" s="22" t="s">
        <v>528</v>
      </c>
      <c r="B93" s="22" t="s">
        <v>529</v>
      </c>
      <c r="C93" s="22">
        <v>689</v>
      </c>
      <c r="D93" s="22" t="s">
        <v>255</v>
      </c>
      <c r="E93" s="22">
        <v>3</v>
      </c>
      <c r="F93" s="22">
        <v>530</v>
      </c>
      <c r="G93" s="22" t="s">
        <v>530</v>
      </c>
      <c r="H93" s="22" t="s">
        <v>257</v>
      </c>
      <c r="I93" s="34">
        <v>45939</v>
      </c>
      <c r="J93" s="34">
        <v>45940</v>
      </c>
      <c r="K93" s="22" t="s">
        <v>245</v>
      </c>
    </row>
    <row r="94" spans="1:11" x14ac:dyDescent="0.25">
      <c r="A94" s="22" t="s">
        <v>531</v>
      </c>
      <c r="B94" s="22" t="s">
        <v>532</v>
      </c>
      <c r="C94" s="22">
        <v>702</v>
      </c>
      <c r="D94" s="22" t="s">
        <v>260</v>
      </c>
      <c r="E94" s="22">
        <v>4</v>
      </c>
      <c r="F94" s="22">
        <v>540</v>
      </c>
      <c r="G94" s="22" t="s">
        <v>533</v>
      </c>
      <c r="H94" s="22" t="s">
        <v>262</v>
      </c>
      <c r="I94" s="34">
        <v>45938</v>
      </c>
      <c r="J94" s="34">
        <v>45939</v>
      </c>
      <c r="K94" s="22" t="s">
        <v>244</v>
      </c>
    </row>
    <row r="95" spans="1:11" x14ac:dyDescent="0.25">
      <c r="A95" s="22" t="s">
        <v>534</v>
      </c>
      <c r="B95" s="22" t="s">
        <v>226</v>
      </c>
      <c r="C95" s="22">
        <v>715</v>
      </c>
      <c r="D95" s="22" t="s">
        <v>265</v>
      </c>
      <c r="E95" s="22">
        <v>5</v>
      </c>
      <c r="F95" s="22">
        <v>550</v>
      </c>
      <c r="G95" s="22" t="s">
        <v>535</v>
      </c>
      <c r="H95" s="22" t="s">
        <v>267</v>
      </c>
      <c r="I95" s="34">
        <v>45937</v>
      </c>
      <c r="J95" s="34">
        <v>45938</v>
      </c>
      <c r="K95" s="22" t="s">
        <v>243</v>
      </c>
    </row>
    <row r="96" spans="1:11" x14ac:dyDescent="0.25">
      <c r="A96" s="22" t="s">
        <v>536</v>
      </c>
      <c r="B96" s="22" t="s">
        <v>537</v>
      </c>
      <c r="C96" s="22">
        <v>728</v>
      </c>
      <c r="D96" s="22" t="s">
        <v>270</v>
      </c>
      <c r="E96" s="22">
        <v>1</v>
      </c>
      <c r="F96" s="22">
        <v>560</v>
      </c>
      <c r="G96" s="22" t="s">
        <v>538</v>
      </c>
      <c r="H96" s="22" t="s">
        <v>272</v>
      </c>
      <c r="I96" s="34">
        <v>45936</v>
      </c>
      <c r="J96" s="34">
        <v>45937</v>
      </c>
      <c r="K96" s="22" t="s">
        <v>247</v>
      </c>
    </row>
    <row r="97" spans="1:11" x14ac:dyDescent="0.25">
      <c r="A97" s="22" t="s">
        <v>539</v>
      </c>
      <c r="B97" s="22" t="s">
        <v>540</v>
      </c>
      <c r="C97" s="22">
        <v>741</v>
      </c>
      <c r="D97" s="22" t="s">
        <v>250</v>
      </c>
      <c r="E97" s="22">
        <v>2</v>
      </c>
      <c r="F97" s="22">
        <v>570</v>
      </c>
      <c r="G97" s="22" t="s">
        <v>541</v>
      </c>
      <c r="H97" s="22" t="s">
        <v>252</v>
      </c>
      <c r="I97" s="34">
        <v>45935</v>
      </c>
      <c r="J97" s="34">
        <v>45936</v>
      </c>
      <c r="K97" s="22" t="s">
        <v>246</v>
      </c>
    </row>
    <row r="98" spans="1:11" x14ac:dyDescent="0.25">
      <c r="A98" s="22" t="s">
        <v>542</v>
      </c>
      <c r="B98" s="22" t="s">
        <v>543</v>
      </c>
      <c r="C98" s="22">
        <v>754</v>
      </c>
      <c r="D98" s="22" t="s">
        <v>255</v>
      </c>
      <c r="E98" s="22">
        <v>3</v>
      </c>
      <c r="F98" s="22">
        <v>580</v>
      </c>
      <c r="G98" s="22" t="s">
        <v>544</v>
      </c>
      <c r="H98" s="22" t="s">
        <v>257</v>
      </c>
      <c r="I98" s="34">
        <v>45934</v>
      </c>
      <c r="J98" s="34">
        <v>45935</v>
      </c>
      <c r="K98" s="22" t="s">
        <v>245</v>
      </c>
    </row>
    <row r="99" spans="1:11" x14ac:dyDescent="0.25">
      <c r="A99" s="22" t="s">
        <v>545</v>
      </c>
      <c r="B99" s="22" t="s">
        <v>546</v>
      </c>
      <c r="C99" s="22">
        <v>767</v>
      </c>
      <c r="D99" s="22" t="s">
        <v>260</v>
      </c>
      <c r="E99" s="22">
        <v>4</v>
      </c>
      <c r="F99" s="22">
        <v>590</v>
      </c>
      <c r="G99" s="22" t="s">
        <v>547</v>
      </c>
      <c r="H99" s="22" t="s">
        <v>262</v>
      </c>
      <c r="I99" s="34">
        <v>45933</v>
      </c>
      <c r="J99" s="34">
        <v>45934</v>
      </c>
      <c r="K99" s="22" t="s">
        <v>244</v>
      </c>
    </row>
    <row r="100" spans="1:11" x14ac:dyDescent="0.25">
      <c r="A100" s="22" t="s">
        <v>548</v>
      </c>
      <c r="B100" s="22" t="s">
        <v>549</v>
      </c>
      <c r="C100" s="22">
        <v>130</v>
      </c>
      <c r="D100" s="22" t="s">
        <v>265</v>
      </c>
      <c r="E100" s="22">
        <v>5</v>
      </c>
      <c r="F100" s="22">
        <v>100</v>
      </c>
      <c r="G100" s="22" t="s">
        <v>550</v>
      </c>
      <c r="H100" s="22" t="s">
        <v>267</v>
      </c>
      <c r="I100" s="34">
        <v>45932</v>
      </c>
      <c r="J100" s="34">
        <v>45933</v>
      </c>
      <c r="K100" s="22" t="s">
        <v>243</v>
      </c>
    </row>
    <row r="101" spans="1:11" x14ac:dyDescent="0.25">
      <c r="A101" s="22" t="s">
        <v>551</v>
      </c>
      <c r="B101" s="22" t="s">
        <v>552</v>
      </c>
      <c r="C101" s="22">
        <v>143</v>
      </c>
      <c r="D101" s="22" t="s">
        <v>270</v>
      </c>
      <c r="E101" s="22">
        <v>1</v>
      </c>
      <c r="F101" s="22">
        <v>110</v>
      </c>
      <c r="G101" s="22" t="s">
        <v>553</v>
      </c>
      <c r="H101" s="22" t="s">
        <v>272</v>
      </c>
      <c r="I101" s="34">
        <v>45931</v>
      </c>
      <c r="J101" s="34">
        <v>45932</v>
      </c>
      <c r="K101" s="22" t="s">
        <v>247</v>
      </c>
    </row>
    <row r="102" spans="1:11" x14ac:dyDescent="0.25">
      <c r="A102" s="22" t="s">
        <v>554</v>
      </c>
      <c r="B102" s="22" t="s">
        <v>555</v>
      </c>
      <c r="C102" s="22">
        <v>156</v>
      </c>
      <c r="D102" s="22" t="s">
        <v>250</v>
      </c>
      <c r="E102" s="22">
        <v>2</v>
      </c>
      <c r="F102" s="22">
        <v>120</v>
      </c>
      <c r="G102" s="22" t="s">
        <v>556</v>
      </c>
      <c r="H102" s="22" t="s">
        <v>252</v>
      </c>
      <c r="I102" s="34">
        <v>45930</v>
      </c>
      <c r="J102" s="34">
        <v>45931</v>
      </c>
      <c r="K102" s="22" t="s">
        <v>246</v>
      </c>
    </row>
    <row r="103" spans="1:11" x14ac:dyDescent="0.25">
      <c r="A103" s="22" t="s">
        <v>557</v>
      </c>
      <c r="B103" s="22" t="s">
        <v>558</v>
      </c>
      <c r="C103" s="22">
        <v>169</v>
      </c>
      <c r="D103" s="22" t="s">
        <v>255</v>
      </c>
      <c r="E103" s="22">
        <v>3</v>
      </c>
      <c r="F103" s="22">
        <v>130</v>
      </c>
      <c r="G103" s="22" t="s">
        <v>559</v>
      </c>
      <c r="H103" s="22" t="s">
        <v>257</v>
      </c>
      <c r="I103" s="34">
        <v>45929</v>
      </c>
      <c r="J103" s="34">
        <v>45930</v>
      </c>
      <c r="K103" s="22" t="s">
        <v>245</v>
      </c>
    </row>
    <row r="104" spans="1:11" x14ac:dyDescent="0.25">
      <c r="A104" s="22" t="s">
        <v>560</v>
      </c>
      <c r="B104" s="22" t="s">
        <v>561</v>
      </c>
      <c r="C104" s="22">
        <v>182</v>
      </c>
      <c r="D104" s="22" t="s">
        <v>260</v>
      </c>
      <c r="E104" s="22">
        <v>4</v>
      </c>
      <c r="F104" s="22">
        <v>140</v>
      </c>
      <c r="G104" s="22" t="s">
        <v>562</v>
      </c>
      <c r="H104" s="22" t="s">
        <v>262</v>
      </c>
      <c r="I104" s="34">
        <v>45928</v>
      </c>
      <c r="J104" s="34">
        <v>45929</v>
      </c>
      <c r="K104" s="22" t="s">
        <v>244</v>
      </c>
    </row>
    <row r="105" spans="1:11" x14ac:dyDescent="0.25">
      <c r="A105" s="22" t="s">
        <v>563</v>
      </c>
      <c r="B105" s="22" t="s">
        <v>564</v>
      </c>
      <c r="C105" s="22">
        <v>195</v>
      </c>
      <c r="D105" s="22" t="s">
        <v>265</v>
      </c>
      <c r="E105" s="22">
        <v>5</v>
      </c>
      <c r="F105" s="22">
        <v>150</v>
      </c>
      <c r="G105" s="22" t="s">
        <v>565</v>
      </c>
      <c r="H105" s="22" t="s">
        <v>267</v>
      </c>
      <c r="I105" s="34">
        <v>45927</v>
      </c>
      <c r="J105" s="34">
        <v>45928</v>
      </c>
      <c r="K105" s="22" t="s">
        <v>243</v>
      </c>
    </row>
    <row r="106" spans="1:11" x14ac:dyDescent="0.25">
      <c r="A106" s="22" t="s">
        <v>566</v>
      </c>
      <c r="B106" s="22" t="s">
        <v>567</v>
      </c>
      <c r="C106" s="22">
        <v>208</v>
      </c>
      <c r="D106" s="22" t="s">
        <v>270</v>
      </c>
      <c r="E106" s="22">
        <v>1</v>
      </c>
      <c r="F106" s="22">
        <v>160</v>
      </c>
      <c r="G106" s="22" t="s">
        <v>568</v>
      </c>
      <c r="H106" s="22" t="s">
        <v>272</v>
      </c>
      <c r="I106" s="34">
        <v>45926</v>
      </c>
      <c r="J106" s="34">
        <v>45927</v>
      </c>
      <c r="K106" s="22" t="s">
        <v>247</v>
      </c>
    </row>
    <row r="107" spans="1:11" x14ac:dyDescent="0.25">
      <c r="A107" s="22" t="s">
        <v>569</v>
      </c>
      <c r="B107" s="22" t="s">
        <v>570</v>
      </c>
      <c r="C107" s="22">
        <v>221</v>
      </c>
      <c r="D107" s="22" t="s">
        <v>250</v>
      </c>
      <c r="E107" s="22">
        <v>2</v>
      </c>
      <c r="F107" s="22">
        <v>170</v>
      </c>
      <c r="G107" s="22" t="s">
        <v>571</v>
      </c>
      <c r="H107" s="22" t="s">
        <v>252</v>
      </c>
      <c r="I107" s="34">
        <v>45925</v>
      </c>
      <c r="J107" s="34">
        <v>45926</v>
      </c>
      <c r="K107" s="22" t="s">
        <v>246</v>
      </c>
    </row>
    <row r="108" spans="1:11" x14ac:dyDescent="0.25">
      <c r="A108" s="22" t="s">
        <v>572</v>
      </c>
      <c r="B108" s="22" t="s">
        <v>573</v>
      </c>
      <c r="C108" s="22">
        <v>234</v>
      </c>
      <c r="D108" s="22" t="s">
        <v>255</v>
      </c>
      <c r="E108" s="22">
        <v>3</v>
      </c>
      <c r="F108" s="22">
        <v>180</v>
      </c>
      <c r="G108" s="22" t="s">
        <v>574</v>
      </c>
      <c r="H108" s="22" t="s">
        <v>257</v>
      </c>
      <c r="I108" s="34">
        <v>45924</v>
      </c>
      <c r="J108" s="34">
        <v>45925</v>
      </c>
      <c r="K108" s="22" t="s">
        <v>245</v>
      </c>
    </row>
    <row r="109" spans="1:11" x14ac:dyDescent="0.25">
      <c r="A109" s="22" t="s">
        <v>575</v>
      </c>
      <c r="B109" s="22" t="s">
        <v>576</v>
      </c>
      <c r="C109" s="22">
        <v>247</v>
      </c>
      <c r="D109" s="22" t="s">
        <v>260</v>
      </c>
      <c r="E109" s="22">
        <v>4</v>
      </c>
      <c r="F109" s="22">
        <v>190</v>
      </c>
      <c r="G109" s="22" t="s">
        <v>577</v>
      </c>
      <c r="H109" s="22" t="s">
        <v>262</v>
      </c>
      <c r="I109" s="34">
        <v>45923</v>
      </c>
      <c r="J109" s="34">
        <v>45924</v>
      </c>
      <c r="K109" s="22" t="s">
        <v>244</v>
      </c>
    </row>
    <row r="110" spans="1:11" x14ac:dyDescent="0.25">
      <c r="A110" s="22" t="s">
        <v>578</v>
      </c>
      <c r="B110" s="22" t="s">
        <v>579</v>
      </c>
      <c r="C110" s="22">
        <v>260</v>
      </c>
      <c r="D110" s="22" t="s">
        <v>265</v>
      </c>
      <c r="E110" s="22">
        <v>5</v>
      </c>
      <c r="F110" s="22">
        <v>200</v>
      </c>
      <c r="G110" s="22" t="s">
        <v>580</v>
      </c>
      <c r="H110" s="22" t="s">
        <v>267</v>
      </c>
      <c r="I110" s="34">
        <v>45922</v>
      </c>
      <c r="J110" s="34">
        <v>45923</v>
      </c>
      <c r="K110" s="22" t="s">
        <v>243</v>
      </c>
    </row>
    <row r="111" spans="1:11" x14ac:dyDescent="0.25">
      <c r="A111" s="22" t="s">
        <v>581</v>
      </c>
      <c r="B111" s="22" t="s">
        <v>582</v>
      </c>
      <c r="C111" s="22">
        <v>273</v>
      </c>
      <c r="D111" s="22" t="s">
        <v>270</v>
      </c>
      <c r="E111" s="22">
        <v>1</v>
      </c>
      <c r="F111" s="22">
        <v>210</v>
      </c>
      <c r="G111" s="22" t="s">
        <v>583</v>
      </c>
      <c r="H111" s="22" t="s">
        <v>272</v>
      </c>
      <c r="I111" s="34">
        <v>45921</v>
      </c>
      <c r="J111" s="34">
        <v>45922</v>
      </c>
      <c r="K111" s="22" t="s">
        <v>247</v>
      </c>
    </row>
    <row r="112" spans="1:11" x14ac:dyDescent="0.25">
      <c r="A112" s="22" t="s">
        <v>584</v>
      </c>
      <c r="B112" s="22" t="s">
        <v>585</v>
      </c>
      <c r="C112" s="22">
        <v>286</v>
      </c>
      <c r="D112" s="22" t="s">
        <v>250</v>
      </c>
      <c r="E112" s="22">
        <v>2</v>
      </c>
      <c r="F112" s="22">
        <v>220</v>
      </c>
      <c r="G112" s="22" t="s">
        <v>586</v>
      </c>
      <c r="H112" s="22" t="s">
        <v>252</v>
      </c>
      <c r="I112" s="34">
        <v>45920</v>
      </c>
      <c r="J112" s="34">
        <v>45921</v>
      </c>
      <c r="K112" s="22" t="s">
        <v>246</v>
      </c>
    </row>
    <row r="113" spans="1:11" x14ac:dyDescent="0.25">
      <c r="A113" s="22" t="s">
        <v>587</v>
      </c>
      <c r="B113" s="22" t="s">
        <v>588</v>
      </c>
      <c r="C113" s="22">
        <v>299</v>
      </c>
      <c r="D113" s="22" t="s">
        <v>255</v>
      </c>
      <c r="E113" s="22">
        <v>3</v>
      </c>
      <c r="F113" s="22">
        <v>230</v>
      </c>
      <c r="G113" s="22" t="s">
        <v>589</v>
      </c>
      <c r="H113" s="22" t="s">
        <v>257</v>
      </c>
      <c r="I113" s="34">
        <v>45919</v>
      </c>
      <c r="J113" s="34">
        <v>45920</v>
      </c>
      <c r="K113" s="22" t="s">
        <v>245</v>
      </c>
    </row>
    <row r="114" spans="1:11" x14ac:dyDescent="0.25">
      <c r="A114" s="22" t="s">
        <v>590</v>
      </c>
      <c r="B114" s="22" t="s">
        <v>591</v>
      </c>
      <c r="C114" s="22">
        <v>312</v>
      </c>
      <c r="D114" s="22" t="s">
        <v>260</v>
      </c>
      <c r="E114" s="22">
        <v>4</v>
      </c>
      <c r="F114" s="22">
        <v>240</v>
      </c>
      <c r="G114" s="22" t="s">
        <v>592</v>
      </c>
      <c r="H114" s="22" t="s">
        <v>262</v>
      </c>
      <c r="I114" s="34">
        <v>45918</v>
      </c>
      <c r="J114" s="34">
        <v>45919</v>
      </c>
      <c r="K114" s="22" t="s">
        <v>244</v>
      </c>
    </row>
    <row r="115" spans="1:11" x14ac:dyDescent="0.25">
      <c r="A115" s="22" t="s">
        <v>593</v>
      </c>
      <c r="B115" s="22" t="s">
        <v>594</v>
      </c>
      <c r="C115" s="22">
        <v>325</v>
      </c>
      <c r="D115" s="22" t="s">
        <v>265</v>
      </c>
      <c r="E115" s="22">
        <v>5</v>
      </c>
      <c r="F115" s="22">
        <v>250</v>
      </c>
      <c r="G115" s="22" t="s">
        <v>595</v>
      </c>
      <c r="H115" s="22" t="s">
        <v>267</v>
      </c>
      <c r="I115" s="34">
        <v>45917</v>
      </c>
      <c r="J115" s="34">
        <v>45918</v>
      </c>
      <c r="K115" s="22" t="s">
        <v>243</v>
      </c>
    </row>
    <row r="116" spans="1:11" x14ac:dyDescent="0.25">
      <c r="A116" s="22" t="s">
        <v>596</v>
      </c>
      <c r="B116" s="22" t="s">
        <v>597</v>
      </c>
      <c r="C116" s="22">
        <v>338</v>
      </c>
      <c r="D116" s="22" t="s">
        <v>270</v>
      </c>
      <c r="E116" s="22">
        <v>1</v>
      </c>
      <c r="F116" s="22">
        <v>260</v>
      </c>
      <c r="G116" s="22" t="s">
        <v>598</v>
      </c>
      <c r="H116" s="22" t="s">
        <v>272</v>
      </c>
      <c r="I116" s="34">
        <v>45916</v>
      </c>
      <c r="J116" s="34">
        <v>45917</v>
      </c>
      <c r="K116" s="22" t="s">
        <v>247</v>
      </c>
    </row>
    <row r="117" spans="1:11" x14ac:dyDescent="0.25">
      <c r="A117" s="22" t="s">
        <v>599</v>
      </c>
      <c r="B117" s="22" t="s">
        <v>600</v>
      </c>
      <c r="C117" s="22">
        <v>351</v>
      </c>
      <c r="D117" s="22" t="s">
        <v>250</v>
      </c>
      <c r="E117" s="22">
        <v>2</v>
      </c>
      <c r="F117" s="22">
        <v>270</v>
      </c>
      <c r="G117" s="22" t="s">
        <v>601</v>
      </c>
      <c r="H117" s="22" t="s">
        <v>252</v>
      </c>
      <c r="I117" s="34">
        <v>45915</v>
      </c>
      <c r="J117" s="34">
        <v>45916</v>
      </c>
      <c r="K117" s="22" t="s">
        <v>246</v>
      </c>
    </row>
    <row r="118" spans="1:11" x14ac:dyDescent="0.25">
      <c r="A118" s="22" t="s">
        <v>602</v>
      </c>
      <c r="B118" s="22" t="s">
        <v>603</v>
      </c>
      <c r="C118" s="22">
        <v>364</v>
      </c>
      <c r="D118" s="22" t="s">
        <v>255</v>
      </c>
      <c r="E118" s="22">
        <v>3</v>
      </c>
      <c r="F118" s="22">
        <v>280</v>
      </c>
      <c r="G118" s="22" t="s">
        <v>604</v>
      </c>
      <c r="H118" s="22" t="s">
        <v>257</v>
      </c>
      <c r="I118" s="34">
        <v>45914</v>
      </c>
      <c r="J118" s="34">
        <v>45915</v>
      </c>
      <c r="K118" s="22" t="s">
        <v>245</v>
      </c>
    </row>
    <row r="119" spans="1:11" x14ac:dyDescent="0.25">
      <c r="A119" s="22" t="s">
        <v>605</v>
      </c>
      <c r="B119" s="22" t="s">
        <v>606</v>
      </c>
      <c r="C119" s="22">
        <v>377</v>
      </c>
      <c r="D119" s="22" t="s">
        <v>260</v>
      </c>
      <c r="E119" s="22">
        <v>4</v>
      </c>
      <c r="F119" s="22">
        <v>290</v>
      </c>
      <c r="G119" s="22" t="s">
        <v>607</v>
      </c>
      <c r="H119" s="22" t="s">
        <v>262</v>
      </c>
      <c r="I119" s="34">
        <v>45913</v>
      </c>
      <c r="J119" s="34">
        <v>45914</v>
      </c>
      <c r="K119" s="22" t="s">
        <v>244</v>
      </c>
    </row>
    <row r="120" spans="1:11" x14ac:dyDescent="0.25">
      <c r="A120" s="22" t="s">
        <v>608</v>
      </c>
      <c r="B120" s="22" t="s">
        <v>609</v>
      </c>
      <c r="C120" s="22">
        <v>390</v>
      </c>
      <c r="D120" s="22" t="s">
        <v>265</v>
      </c>
      <c r="E120" s="22">
        <v>5</v>
      </c>
      <c r="F120" s="22">
        <v>300</v>
      </c>
      <c r="G120" s="22" t="s">
        <v>610</v>
      </c>
      <c r="H120" s="22" t="s">
        <v>267</v>
      </c>
      <c r="I120" s="34">
        <v>45912</v>
      </c>
      <c r="J120" s="34">
        <v>45913</v>
      </c>
      <c r="K120" s="22" t="s">
        <v>243</v>
      </c>
    </row>
    <row r="121" spans="1:11" x14ac:dyDescent="0.25">
      <c r="A121" s="22" t="s">
        <v>611</v>
      </c>
      <c r="B121" s="22" t="s">
        <v>612</v>
      </c>
      <c r="C121" s="22">
        <v>403</v>
      </c>
      <c r="D121" s="22" t="s">
        <v>270</v>
      </c>
      <c r="E121" s="22">
        <v>1</v>
      </c>
      <c r="F121" s="22">
        <v>310</v>
      </c>
      <c r="G121" s="22" t="s">
        <v>613</v>
      </c>
      <c r="H121" s="22" t="s">
        <v>272</v>
      </c>
      <c r="I121" s="34">
        <v>45911</v>
      </c>
      <c r="J121" s="34">
        <v>45912</v>
      </c>
      <c r="K121" s="22" t="s">
        <v>247</v>
      </c>
    </row>
    <row r="122" spans="1:11" x14ac:dyDescent="0.25">
      <c r="A122" s="22" t="s">
        <v>614</v>
      </c>
      <c r="B122" s="22" t="s">
        <v>615</v>
      </c>
      <c r="C122" s="22">
        <v>416</v>
      </c>
      <c r="D122" s="22" t="s">
        <v>250</v>
      </c>
      <c r="E122" s="22">
        <v>2</v>
      </c>
      <c r="F122" s="22">
        <v>320</v>
      </c>
      <c r="G122" s="22" t="s">
        <v>616</v>
      </c>
      <c r="H122" s="22" t="s">
        <v>252</v>
      </c>
      <c r="I122" s="34">
        <v>45910</v>
      </c>
      <c r="J122" s="34">
        <v>45911</v>
      </c>
      <c r="K122" s="22" t="s">
        <v>246</v>
      </c>
    </row>
    <row r="123" spans="1:11" x14ac:dyDescent="0.25">
      <c r="A123" s="22" t="s">
        <v>617</v>
      </c>
      <c r="B123" s="22" t="s">
        <v>618</v>
      </c>
      <c r="C123" s="22">
        <v>429</v>
      </c>
      <c r="D123" s="22" t="s">
        <v>255</v>
      </c>
      <c r="E123" s="22">
        <v>3</v>
      </c>
      <c r="F123" s="22">
        <v>330</v>
      </c>
      <c r="G123" s="22" t="s">
        <v>619</v>
      </c>
      <c r="H123" s="22" t="s">
        <v>257</v>
      </c>
      <c r="I123" s="34">
        <v>45909</v>
      </c>
      <c r="J123" s="34">
        <v>45910</v>
      </c>
      <c r="K123" s="22" t="s">
        <v>245</v>
      </c>
    </row>
    <row r="124" spans="1:11" x14ac:dyDescent="0.25">
      <c r="A124" s="22" t="s">
        <v>620</v>
      </c>
      <c r="B124" s="22" t="s">
        <v>621</v>
      </c>
      <c r="C124" s="22">
        <v>442</v>
      </c>
      <c r="D124" s="22" t="s">
        <v>260</v>
      </c>
      <c r="E124" s="22">
        <v>4</v>
      </c>
      <c r="F124" s="22">
        <v>340</v>
      </c>
      <c r="G124" s="22" t="s">
        <v>622</v>
      </c>
      <c r="H124" s="22" t="s">
        <v>262</v>
      </c>
      <c r="I124" s="34">
        <v>45908</v>
      </c>
      <c r="J124" s="34">
        <v>45909</v>
      </c>
      <c r="K124" s="22" t="s">
        <v>244</v>
      </c>
    </row>
    <row r="125" spans="1:11" x14ac:dyDescent="0.25">
      <c r="A125" s="22" t="s">
        <v>623</v>
      </c>
      <c r="B125" s="22" t="s">
        <v>624</v>
      </c>
      <c r="C125" s="22">
        <v>455</v>
      </c>
      <c r="D125" s="22" t="s">
        <v>265</v>
      </c>
      <c r="E125" s="22">
        <v>5</v>
      </c>
      <c r="F125" s="22">
        <v>350</v>
      </c>
      <c r="G125" s="22" t="s">
        <v>625</v>
      </c>
      <c r="H125" s="22" t="s">
        <v>267</v>
      </c>
      <c r="I125" s="34">
        <v>45907</v>
      </c>
      <c r="J125" s="34">
        <v>45908</v>
      </c>
      <c r="K125" s="22" t="s">
        <v>243</v>
      </c>
    </row>
    <row r="126" spans="1:11" x14ac:dyDescent="0.25">
      <c r="A126" s="22" t="s">
        <v>626</v>
      </c>
      <c r="B126" s="22" t="s">
        <v>627</v>
      </c>
      <c r="C126" s="22">
        <v>468</v>
      </c>
      <c r="D126" s="22" t="s">
        <v>270</v>
      </c>
      <c r="E126" s="22">
        <v>1</v>
      </c>
      <c r="F126" s="22">
        <v>360</v>
      </c>
      <c r="G126" s="22" t="s">
        <v>628</v>
      </c>
      <c r="H126" s="22" t="s">
        <v>272</v>
      </c>
      <c r="I126" s="34">
        <v>45906</v>
      </c>
      <c r="J126" s="34">
        <v>45907</v>
      </c>
      <c r="K126" s="22" t="s">
        <v>247</v>
      </c>
    </row>
    <row r="127" spans="1:11" x14ac:dyDescent="0.25">
      <c r="A127" s="22" t="s">
        <v>629</v>
      </c>
      <c r="B127" s="22" t="s">
        <v>630</v>
      </c>
      <c r="C127" s="22">
        <v>481</v>
      </c>
      <c r="D127" s="22" t="s">
        <v>250</v>
      </c>
      <c r="E127" s="22">
        <v>2</v>
      </c>
      <c r="F127" s="22">
        <v>370</v>
      </c>
      <c r="G127" s="22" t="s">
        <v>631</v>
      </c>
      <c r="H127" s="22" t="s">
        <v>252</v>
      </c>
      <c r="I127" s="34">
        <v>45905</v>
      </c>
      <c r="J127" s="34">
        <v>45906</v>
      </c>
      <c r="K127" s="22" t="s">
        <v>246</v>
      </c>
    </row>
    <row r="128" spans="1:11" x14ac:dyDescent="0.25">
      <c r="A128" s="22" t="s">
        <v>632</v>
      </c>
      <c r="B128" s="22" t="s">
        <v>633</v>
      </c>
      <c r="C128" s="22">
        <v>494</v>
      </c>
      <c r="D128" s="22" t="s">
        <v>255</v>
      </c>
      <c r="E128" s="22">
        <v>3</v>
      </c>
      <c r="F128" s="22">
        <v>380</v>
      </c>
      <c r="G128" s="22" t="s">
        <v>634</v>
      </c>
      <c r="H128" s="22" t="s">
        <v>257</v>
      </c>
      <c r="I128" s="34">
        <v>45904</v>
      </c>
      <c r="J128" s="34">
        <v>45905</v>
      </c>
      <c r="K128" s="22" t="s">
        <v>245</v>
      </c>
    </row>
    <row r="129" spans="1:11" x14ac:dyDescent="0.25">
      <c r="A129" s="22" t="s">
        <v>635</v>
      </c>
      <c r="B129" s="22" t="s">
        <v>636</v>
      </c>
      <c r="C129" s="22">
        <v>507</v>
      </c>
      <c r="D129" s="22" t="s">
        <v>260</v>
      </c>
      <c r="E129" s="22">
        <v>4</v>
      </c>
      <c r="F129" s="22">
        <v>390</v>
      </c>
      <c r="G129" s="22" t="s">
        <v>637</v>
      </c>
      <c r="H129" s="22" t="s">
        <v>262</v>
      </c>
      <c r="I129" s="34">
        <v>45903</v>
      </c>
      <c r="J129" s="34">
        <v>45904</v>
      </c>
      <c r="K129" s="22" t="s">
        <v>244</v>
      </c>
    </row>
    <row r="130" spans="1:11" x14ac:dyDescent="0.25">
      <c r="A130" s="22" t="s">
        <v>638</v>
      </c>
      <c r="B130" s="22" t="s">
        <v>639</v>
      </c>
      <c r="C130" s="22">
        <v>520</v>
      </c>
      <c r="D130" s="22" t="s">
        <v>265</v>
      </c>
      <c r="E130" s="22">
        <v>5</v>
      </c>
      <c r="F130" s="22">
        <v>400</v>
      </c>
      <c r="G130" s="22" t="s">
        <v>640</v>
      </c>
      <c r="H130" s="22" t="s">
        <v>267</v>
      </c>
      <c r="I130" s="34">
        <v>45902</v>
      </c>
      <c r="J130" s="34">
        <v>45903</v>
      </c>
      <c r="K130" s="22" t="s">
        <v>243</v>
      </c>
    </row>
    <row r="131" spans="1:11" x14ac:dyDescent="0.25">
      <c r="A131" s="22" t="s">
        <v>641</v>
      </c>
      <c r="B131" s="22" t="s">
        <v>642</v>
      </c>
      <c r="C131" s="22">
        <v>533</v>
      </c>
      <c r="D131" s="22" t="s">
        <v>270</v>
      </c>
      <c r="E131" s="22">
        <v>1</v>
      </c>
      <c r="F131" s="22">
        <v>410</v>
      </c>
      <c r="G131" s="22" t="s">
        <v>643</v>
      </c>
      <c r="H131" s="22" t="s">
        <v>272</v>
      </c>
      <c r="I131" s="34">
        <v>45901</v>
      </c>
      <c r="J131" s="34">
        <v>45902</v>
      </c>
      <c r="K131" s="22" t="s">
        <v>247</v>
      </c>
    </row>
    <row r="132" spans="1:11" x14ac:dyDescent="0.25">
      <c r="A132" s="22" t="s">
        <v>644</v>
      </c>
      <c r="B132" s="22" t="s">
        <v>645</v>
      </c>
      <c r="C132" s="22">
        <v>546</v>
      </c>
      <c r="D132" s="22" t="s">
        <v>250</v>
      </c>
      <c r="E132" s="22">
        <v>2</v>
      </c>
      <c r="F132" s="22">
        <v>420</v>
      </c>
      <c r="G132" s="22" t="s">
        <v>646</v>
      </c>
      <c r="H132" s="22" t="s">
        <v>252</v>
      </c>
      <c r="I132" s="34">
        <v>45900</v>
      </c>
      <c r="J132" s="34">
        <v>45901</v>
      </c>
      <c r="K132" s="22" t="s">
        <v>246</v>
      </c>
    </row>
    <row r="133" spans="1:11" x14ac:dyDescent="0.25">
      <c r="A133" s="22" t="s">
        <v>647</v>
      </c>
      <c r="B133" s="22" t="s">
        <v>648</v>
      </c>
      <c r="C133" s="22">
        <v>559</v>
      </c>
      <c r="D133" s="22" t="s">
        <v>255</v>
      </c>
      <c r="E133" s="22">
        <v>3</v>
      </c>
      <c r="F133" s="22">
        <v>430</v>
      </c>
      <c r="G133" s="22" t="s">
        <v>649</v>
      </c>
      <c r="H133" s="22" t="s">
        <v>257</v>
      </c>
      <c r="I133" s="34">
        <v>45899</v>
      </c>
      <c r="J133" s="34">
        <v>45900</v>
      </c>
      <c r="K133" s="22" t="s">
        <v>245</v>
      </c>
    </row>
    <row r="134" spans="1:11" x14ac:dyDescent="0.25">
      <c r="A134" s="22" t="s">
        <v>650</v>
      </c>
      <c r="B134" s="22" t="s">
        <v>651</v>
      </c>
      <c r="C134" s="22">
        <v>572</v>
      </c>
      <c r="D134" s="22" t="s">
        <v>260</v>
      </c>
      <c r="E134" s="22">
        <v>4</v>
      </c>
      <c r="F134" s="22">
        <v>440</v>
      </c>
      <c r="G134" s="22" t="s">
        <v>652</v>
      </c>
      <c r="H134" s="22" t="s">
        <v>262</v>
      </c>
      <c r="I134" s="34">
        <v>45898</v>
      </c>
      <c r="J134" s="34">
        <v>45899</v>
      </c>
      <c r="K134" s="22" t="s">
        <v>244</v>
      </c>
    </row>
    <row r="135" spans="1:11" x14ac:dyDescent="0.25">
      <c r="A135" s="22" t="s">
        <v>653</v>
      </c>
      <c r="B135" s="22" t="s">
        <v>654</v>
      </c>
      <c r="C135" s="22">
        <v>585</v>
      </c>
      <c r="D135" s="22" t="s">
        <v>265</v>
      </c>
      <c r="E135" s="22">
        <v>5</v>
      </c>
      <c r="F135" s="22">
        <v>450</v>
      </c>
      <c r="G135" s="22" t="s">
        <v>655</v>
      </c>
      <c r="H135" s="22" t="s">
        <v>267</v>
      </c>
      <c r="I135" s="34">
        <v>45897</v>
      </c>
      <c r="J135" s="34">
        <v>45898</v>
      </c>
      <c r="K135" s="22" t="s">
        <v>243</v>
      </c>
    </row>
    <row r="136" spans="1:11" x14ac:dyDescent="0.25">
      <c r="A136" s="22" t="s">
        <v>656</v>
      </c>
      <c r="B136" s="22" t="s">
        <v>657</v>
      </c>
      <c r="C136" s="22">
        <v>598</v>
      </c>
      <c r="D136" s="22" t="s">
        <v>270</v>
      </c>
      <c r="E136" s="22">
        <v>1</v>
      </c>
      <c r="F136" s="22">
        <v>460</v>
      </c>
      <c r="G136" s="22" t="s">
        <v>658</v>
      </c>
      <c r="H136" s="22" t="s">
        <v>272</v>
      </c>
      <c r="I136" s="34">
        <v>45896</v>
      </c>
      <c r="J136" s="34">
        <v>45897</v>
      </c>
      <c r="K136" s="22" t="s">
        <v>247</v>
      </c>
    </row>
    <row r="137" spans="1:11" x14ac:dyDescent="0.25">
      <c r="A137" s="22" t="s">
        <v>659</v>
      </c>
      <c r="B137" s="22" t="s">
        <v>660</v>
      </c>
      <c r="C137" s="22">
        <v>611</v>
      </c>
      <c r="D137" s="22" t="s">
        <v>250</v>
      </c>
      <c r="E137" s="22">
        <v>2</v>
      </c>
      <c r="F137" s="22">
        <v>470</v>
      </c>
      <c r="G137" s="22" t="s">
        <v>661</v>
      </c>
      <c r="H137" s="22" t="s">
        <v>252</v>
      </c>
      <c r="I137" s="34">
        <v>45895</v>
      </c>
      <c r="J137" s="34">
        <v>45896</v>
      </c>
      <c r="K137" s="22" t="s">
        <v>246</v>
      </c>
    </row>
    <row r="138" spans="1:11" x14ac:dyDescent="0.25">
      <c r="A138" s="22" t="s">
        <v>662</v>
      </c>
      <c r="B138" s="22" t="s">
        <v>663</v>
      </c>
      <c r="C138" s="22">
        <v>624</v>
      </c>
      <c r="D138" s="22" t="s">
        <v>255</v>
      </c>
      <c r="E138" s="22">
        <v>3</v>
      </c>
      <c r="F138" s="22">
        <v>480</v>
      </c>
      <c r="G138" s="22" t="s">
        <v>664</v>
      </c>
      <c r="H138" s="22" t="s">
        <v>257</v>
      </c>
      <c r="I138" s="34">
        <v>45894</v>
      </c>
      <c r="J138" s="34">
        <v>45895</v>
      </c>
      <c r="K138" s="22" t="s">
        <v>245</v>
      </c>
    </row>
    <row r="139" spans="1:11" x14ac:dyDescent="0.25">
      <c r="A139" s="22" t="s">
        <v>665</v>
      </c>
      <c r="B139" s="22" t="s">
        <v>666</v>
      </c>
      <c r="C139" s="22">
        <v>637</v>
      </c>
      <c r="D139" s="22" t="s">
        <v>260</v>
      </c>
      <c r="E139" s="22">
        <v>4</v>
      </c>
      <c r="F139" s="22">
        <v>490</v>
      </c>
      <c r="G139" s="22" t="s">
        <v>667</v>
      </c>
      <c r="H139" s="22" t="s">
        <v>262</v>
      </c>
      <c r="I139" s="34">
        <v>45893</v>
      </c>
      <c r="J139" s="34">
        <v>45894</v>
      </c>
      <c r="K139" s="22" t="s">
        <v>244</v>
      </c>
    </row>
    <row r="140" spans="1:11" x14ac:dyDescent="0.25">
      <c r="A140" s="22" t="s">
        <v>668</v>
      </c>
      <c r="B140" s="22" t="s">
        <v>241</v>
      </c>
      <c r="C140" s="22">
        <v>650</v>
      </c>
      <c r="D140" s="22" t="s">
        <v>265</v>
      </c>
      <c r="E140" s="22">
        <v>5</v>
      </c>
      <c r="F140" s="22">
        <v>500</v>
      </c>
      <c r="G140" s="22" t="s">
        <v>669</v>
      </c>
      <c r="H140" s="22" t="s">
        <v>267</v>
      </c>
      <c r="I140" s="34">
        <v>45892</v>
      </c>
      <c r="J140" s="34">
        <v>45893</v>
      </c>
      <c r="K140" s="22" t="s">
        <v>243</v>
      </c>
    </row>
    <row r="141" spans="1:11" x14ac:dyDescent="0.25">
      <c r="A141" s="22" t="s">
        <v>670</v>
      </c>
      <c r="B141" s="22" t="s">
        <v>671</v>
      </c>
      <c r="C141" s="22">
        <v>663</v>
      </c>
      <c r="D141" s="22" t="s">
        <v>270</v>
      </c>
      <c r="E141" s="22">
        <v>1</v>
      </c>
      <c r="F141" s="22">
        <v>510</v>
      </c>
      <c r="G141" s="22" t="s">
        <v>672</v>
      </c>
      <c r="H141" s="22" t="s">
        <v>272</v>
      </c>
      <c r="I141" s="34">
        <v>45891</v>
      </c>
      <c r="J141" s="34">
        <v>45892</v>
      </c>
      <c r="K141" s="22" t="s">
        <v>247</v>
      </c>
    </row>
    <row r="142" spans="1:11" x14ac:dyDescent="0.25">
      <c r="A142" s="22" t="s">
        <v>673</v>
      </c>
      <c r="B142" s="22" t="s">
        <v>674</v>
      </c>
      <c r="C142" s="22">
        <v>676</v>
      </c>
      <c r="D142" s="22" t="s">
        <v>250</v>
      </c>
      <c r="E142" s="22">
        <v>2</v>
      </c>
      <c r="F142" s="22">
        <v>520</v>
      </c>
      <c r="G142" s="22" t="s">
        <v>675</v>
      </c>
      <c r="H142" s="22" t="s">
        <v>252</v>
      </c>
      <c r="I142" s="34">
        <v>45890</v>
      </c>
      <c r="J142" s="34">
        <v>45891</v>
      </c>
      <c r="K142" s="22" t="s">
        <v>246</v>
      </c>
    </row>
    <row r="143" spans="1:11" x14ac:dyDescent="0.25">
      <c r="A143" s="22" t="s">
        <v>676</v>
      </c>
      <c r="B143" s="22" t="s">
        <v>677</v>
      </c>
      <c r="C143" s="22">
        <v>689</v>
      </c>
      <c r="D143" s="22" t="s">
        <v>255</v>
      </c>
      <c r="E143" s="22">
        <v>3</v>
      </c>
      <c r="F143" s="22">
        <v>530</v>
      </c>
      <c r="G143" s="22" t="s">
        <v>678</v>
      </c>
      <c r="H143" s="22" t="s">
        <v>257</v>
      </c>
      <c r="I143" s="34">
        <v>45889</v>
      </c>
      <c r="J143" s="34">
        <v>45890</v>
      </c>
      <c r="K143" s="22" t="s">
        <v>245</v>
      </c>
    </row>
    <row r="144" spans="1:11" x14ac:dyDescent="0.25">
      <c r="A144" s="22" t="s">
        <v>679</v>
      </c>
      <c r="B144" s="22" t="s">
        <v>680</v>
      </c>
      <c r="C144" s="22">
        <v>702</v>
      </c>
      <c r="D144" s="22" t="s">
        <v>260</v>
      </c>
      <c r="E144" s="22">
        <v>4</v>
      </c>
      <c r="F144" s="22">
        <v>540</v>
      </c>
      <c r="G144" s="22" t="s">
        <v>681</v>
      </c>
      <c r="H144" s="22" t="s">
        <v>262</v>
      </c>
      <c r="I144" s="34">
        <v>45888</v>
      </c>
      <c r="J144" s="34">
        <v>45889</v>
      </c>
      <c r="K144" s="22" t="s">
        <v>244</v>
      </c>
    </row>
    <row r="145" spans="1:11" x14ac:dyDescent="0.25">
      <c r="A145" s="22" t="s">
        <v>682</v>
      </c>
      <c r="B145" s="22" t="s">
        <v>227</v>
      </c>
      <c r="C145" s="22">
        <v>715</v>
      </c>
      <c r="D145" s="22" t="s">
        <v>265</v>
      </c>
      <c r="E145" s="22">
        <v>5</v>
      </c>
      <c r="F145" s="22">
        <v>550</v>
      </c>
      <c r="G145" s="22" t="s">
        <v>683</v>
      </c>
      <c r="H145" s="22" t="s">
        <v>267</v>
      </c>
      <c r="I145" s="34">
        <v>45887</v>
      </c>
      <c r="J145" s="34">
        <v>45888</v>
      </c>
      <c r="K145" s="22" t="s">
        <v>243</v>
      </c>
    </row>
    <row r="146" spans="1:11" x14ac:dyDescent="0.25">
      <c r="A146" s="22" t="s">
        <v>684</v>
      </c>
      <c r="B146" s="22" t="s">
        <v>685</v>
      </c>
      <c r="C146" s="22">
        <v>728</v>
      </c>
      <c r="D146" s="22" t="s">
        <v>270</v>
      </c>
      <c r="E146" s="22">
        <v>1</v>
      </c>
      <c r="F146" s="22">
        <v>560</v>
      </c>
      <c r="G146" s="22" t="s">
        <v>686</v>
      </c>
      <c r="H146" s="22" t="s">
        <v>272</v>
      </c>
      <c r="I146" s="34">
        <v>45886</v>
      </c>
      <c r="J146" s="34">
        <v>45887</v>
      </c>
      <c r="K146" s="22" t="s">
        <v>247</v>
      </c>
    </row>
    <row r="147" spans="1:11" x14ac:dyDescent="0.25">
      <c r="A147" s="22" t="s">
        <v>687</v>
      </c>
      <c r="B147" s="22" t="s">
        <v>688</v>
      </c>
      <c r="C147" s="22">
        <v>741</v>
      </c>
      <c r="D147" s="22" t="s">
        <v>250</v>
      </c>
      <c r="E147" s="22">
        <v>2</v>
      </c>
      <c r="F147" s="22">
        <v>570</v>
      </c>
      <c r="G147" s="22" t="s">
        <v>689</v>
      </c>
      <c r="H147" s="22" t="s">
        <v>252</v>
      </c>
      <c r="I147" s="34">
        <v>45885</v>
      </c>
      <c r="J147" s="34">
        <v>45886</v>
      </c>
      <c r="K147" s="22" t="s">
        <v>246</v>
      </c>
    </row>
    <row r="148" spans="1:11" x14ac:dyDescent="0.25">
      <c r="A148" s="22" t="s">
        <v>690</v>
      </c>
      <c r="B148" s="22" t="s">
        <v>691</v>
      </c>
      <c r="C148" s="22">
        <v>754</v>
      </c>
      <c r="D148" s="22" t="s">
        <v>255</v>
      </c>
      <c r="E148" s="22">
        <v>3</v>
      </c>
      <c r="F148" s="22">
        <v>580</v>
      </c>
      <c r="G148" s="22" t="s">
        <v>692</v>
      </c>
      <c r="H148" s="22" t="s">
        <v>257</v>
      </c>
      <c r="I148" s="34">
        <v>45884</v>
      </c>
      <c r="J148" s="34">
        <v>45885</v>
      </c>
      <c r="K148" s="22" t="s">
        <v>245</v>
      </c>
    </row>
    <row r="149" spans="1:11" x14ac:dyDescent="0.25">
      <c r="A149" s="22" t="s">
        <v>693</v>
      </c>
      <c r="B149" s="22" t="s">
        <v>694</v>
      </c>
      <c r="C149" s="22">
        <v>767</v>
      </c>
      <c r="D149" s="22" t="s">
        <v>260</v>
      </c>
      <c r="E149" s="22">
        <v>4</v>
      </c>
      <c r="F149" s="22">
        <v>590</v>
      </c>
      <c r="G149" s="22" t="s">
        <v>695</v>
      </c>
      <c r="H149" s="22" t="s">
        <v>262</v>
      </c>
      <c r="I149" s="34">
        <v>45883</v>
      </c>
      <c r="J149" s="34">
        <v>45884</v>
      </c>
      <c r="K149" s="22" t="s">
        <v>244</v>
      </c>
    </row>
    <row r="150" spans="1:11" x14ac:dyDescent="0.25">
      <c r="A150" s="22" t="s">
        <v>696</v>
      </c>
      <c r="B150" s="22" t="s">
        <v>697</v>
      </c>
      <c r="C150" s="22">
        <v>130</v>
      </c>
      <c r="D150" s="22" t="s">
        <v>265</v>
      </c>
      <c r="E150" s="22">
        <v>5</v>
      </c>
      <c r="F150" s="22">
        <v>100</v>
      </c>
      <c r="G150" s="22" t="s">
        <v>698</v>
      </c>
      <c r="H150" s="22" t="s">
        <v>267</v>
      </c>
      <c r="I150" s="34">
        <v>45882</v>
      </c>
      <c r="J150" s="34">
        <v>45883</v>
      </c>
      <c r="K150" s="22" t="s">
        <v>243</v>
      </c>
    </row>
    <row r="151" spans="1:11" x14ac:dyDescent="0.25">
      <c r="A151" s="22" t="s">
        <v>699</v>
      </c>
      <c r="B151" s="22" t="s">
        <v>700</v>
      </c>
      <c r="C151" s="22">
        <v>143</v>
      </c>
      <c r="D151" s="22" t="s">
        <v>270</v>
      </c>
      <c r="E151" s="22">
        <v>1</v>
      </c>
      <c r="F151" s="22">
        <v>110</v>
      </c>
      <c r="G151" s="22" t="s">
        <v>701</v>
      </c>
      <c r="H151" s="22" t="s">
        <v>272</v>
      </c>
      <c r="I151" s="34">
        <v>45881</v>
      </c>
      <c r="J151" s="34">
        <v>45882</v>
      </c>
      <c r="K151" s="22" t="s">
        <v>247</v>
      </c>
    </row>
    <row r="152" spans="1:11" x14ac:dyDescent="0.25">
      <c r="A152" s="22" t="s">
        <v>702</v>
      </c>
      <c r="B152" s="22" t="s">
        <v>703</v>
      </c>
      <c r="C152" s="22">
        <v>156</v>
      </c>
      <c r="D152" s="22" t="s">
        <v>250</v>
      </c>
      <c r="E152" s="22">
        <v>2</v>
      </c>
      <c r="F152" s="22">
        <v>120</v>
      </c>
      <c r="G152" s="22" t="s">
        <v>704</v>
      </c>
      <c r="H152" s="22" t="s">
        <v>252</v>
      </c>
      <c r="I152" s="34">
        <v>45880</v>
      </c>
      <c r="J152" s="34">
        <v>45881</v>
      </c>
      <c r="K152" s="22" t="s">
        <v>246</v>
      </c>
    </row>
    <row r="153" spans="1:11" x14ac:dyDescent="0.25">
      <c r="A153" s="22" t="s">
        <v>705</v>
      </c>
      <c r="B153" s="22" t="s">
        <v>706</v>
      </c>
      <c r="C153" s="22">
        <v>169</v>
      </c>
      <c r="D153" s="22" t="s">
        <v>255</v>
      </c>
      <c r="E153" s="22">
        <v>3</v>
      </c>
      <c r="F153" s="22">
        <v>130</v>
      </c>
      <c r="G153" s="22" t="s">
        <v>707</v>
      </c>
      <c r="H153" s="22" t="s">
        <v>257</v>
      </c>
      <c r="I153" s="34">
        <v>45879</v>
      </c>
      <c r="J153" s="34">
        <v>45880</v>
      </c>
      <c r="K153" s="22" t="s">
        <v>245</v>
      </c>
    </row>
    <row r="154" spans="1:11" x14ac:dyDescent="0.25">
      <c r="A154" s="22" t="s">
        <v>708</v>
      </c>
      <c r="B154" s="22" t="s">
        <v>709</v>
      </c>
      <c r="C154" s="22">
        <v>182</v>
      </c>
      <c r="D154" s="22" t="s">
        <v>260</v>
      </c>
      <c r="E154" s="22">
        <v>4</v>
      </c>
      <c r="F154" s="22">
        <v>140</v>
      </c>
      <c r="G154" s="22" t="s">
        <v>710</v>
      </c>
      <c r="H154" s="22" t="s">
        <v>262</v>
      </c>
      <c r="I154" s="34">
        <v>45878</v>
      </c>
      <c r="J154" s="34">
        <v>45879</v>
      </c>
      <c r="K154" s="22" t="s">
        <v>244</v>
      </c>
    </row>
    <row r="155" spans="1:11" x14ac:dyDescent="0.25">
      <c r="A155" s="22" t="s">
        <v>711</v>
      </c>
      <c r="B155" s="22" t="s">
        <v>712</v>
      </c>
      <c r="C155" s="22">
        <v>195</v>
      </c>
      <c r="D155" s="22" t="s">
        <v>265</v>
      </c>
      <c r="E155" s="22">
        <v>5</v>
      </c>
      <c r="F155" s="22">
        <v>150</v>
      </c>
      <c r="G155" s="22" t="s">
        <v>713</v>
      </c>
      <c r="H155" s="22" t="s">
        <v>267</v>
      </c>
      <c r="I155" s="34">
        <v>45877</v>
      </c>
      <c r="J155" s="34">
        <v>45878</v>
      </c>
      <c r="K155" s="22" t="s">
        <v>243</v>
      </c>
    </row>
    <row r="156" spans="1:11" x14ac:dyDescent="0.25">
      <c r="A156" s="22" t="s">
        <v>714</v>
      </c>
      <c r="B156" s="22" t="s">
        <v>715</v>
      </c>
      <c r="C156" s="22">
        <v>208</v>
      </c>
      <c r="D156" s="22" t="s">
        <v>270</v>
      </c>
      <c r="E156" s="22">
        <v>1</v>
      </c>
      <c r="F156" s="22">
        <v>160</v>
      </c>
      <c r="G156" s="22" t="s">
        <v>716</v>
      </c>
      <c r="H156" s="22" t="s">
        <v>272</v>
      </c>
      <c r="I156" s="34">
        <v>45876</v>
      </c>
      <c r="J156" s="34">
        <v>45877</v>
      </c>
      <c r="K156" s="22" t="s">
        <v>247</v>
      </c>
    </row>
    <row r="157" spans="1:11" x14ac:dyDescent="0.25">
      <c r="A157" s="22" t="s">
        <v>717</v>
      </c>
      <c r="B157" s="22" t="s">
        <v>718</v>
      </c>
      <c r="C157" s="22">
        <v>221</v>
      </c>
      <c r="D157" s="22" t="s">
        <v>250</v>
      </c>
      <c r="E157" s="22">
        <v>2</v>
      </c>
      <c r="F157" s="22">
        <v>170</v>
      </c>
      <c r="G157" s="22" t="s">
        <v>719</v>
      </c>
      <c r="H157" s="22" t="s">
        <v>252</v>
      </c>
      <c r="I157" s="34">
        <v>45875</v>
      </c>
      <c r="J157" s="34">
        <v>45876</v>
      </c>
      <c r="K157" s="22" t="s">
        <v>246</v>
      </c>
    </row>
    <row r="158" spans="1:11" x14ac:dyDescent="0.25">
      <c r="A158" s="22" t="s">
        <v>720</v>
      </c>
      <c r="B158" s="22" t="s">
        <v>721</v>
      </c>
      <c r="C158" s="22">
        <v>234</v>
      </c>
      <c r="D158" s="22" t="s">
        <v>255</v>
      </c>
      <c r="E158" s="22">
        <v>3</v>
      </c>
      <c r="F158" s="22">
        <v>180</v>
      </c>
      <c r="G158" s="22" t="s">
        <v>722</v>
      </c>
      <c r="H158" s="22" t="s">
        <v>257</v>
      </c>
      <c r="I158" s="34">
        <v>45874</v>
      </c>
      <c r="J158" s="34">
        <v>45875</v>
      </c>
      <c r="K158" s="22" t="s">
        <v>245</v>
      </c>
    </row>
    <row r="159" spans="1:11" x14ac:dyDescent="0.25">
      <c r="A159" s="22" t="s">
        <v>723</v>
      </c>
      <c r="B159" s="22" t="s">
        <v>724</v>
      </c>
      <c r="C159" s="22">
        <v>247</v>
      </c>
      <c r="D159" s="22" t="s">
        <v>260</v>
      </c>
      <c r="E159" s="22">
        <v>4</v>
      </c>
      <c r="F159" s="22">
        <v>190</v>
      </c>
      <c r="G159" s="22" t="s">
        <v>725</v>
      </c>
      <c r="H159" s="22" t="s">
        <v>262</v>
      </c>
      <c r="I159" s="34">
        <v>45873</v>
      </c>
      <c r="J159" s="34">
        <v>45874</v>
      </c>
      <c r="K159" s="22" t="s">
        <v>244</v>
      </c>
    </row>
    <row r="160" spans="1:11" x14ac:dyDescent="0.25">
      <c r="A160" s="22" t="s">
        <v>726</v>
      </c>
      <c r="B160" s="22" t="s">
        <v>727</v>
      </c>
      <c r="C160" s="22">
        <v>260</v>
      </c>
      <c r="D160" s="22" t="s">
        <v>265</v>
      </c>
      <c r="E160" s="22">
        <v>5</v>
      </c>
      <c r="F160" s="22">
        <v>200</v>
      </c>
      <c r="G160" s="22" t="s">
        <v>728</v>
      </c>
      <c r="H160" s="22" t="s">
        <v>267</v>
      </c>
      <c r="I160" s="34">
        <v>45872</v>
      </c>
      <c r="J160" s="34">
        <v>45873</v>
      </c>
      <c r="K160" s="22" t="s">
        <v>243</v>
      </c>
    </row>
    <row r="161" spans="1:11" x14ac:dyDescent="0.25">
      <c r="A161" s="22" t="s">
        <v>729</v>
      </c>
      <c r="B161" s="22" t="s">
        <v>730</v>
      </c>
      <c r="C161" s="22">
        <v>273</v>
      </c>
      <c r="D161" s="22" t="s">
        <v>270</v>
      </c>
      <c r="E161" s="22">
        <v>1</v>
      </c>
      <c r="F161" s="22">
        <v>210</v>
      </c>
      <c r="G161" s="22" t="s">
        <v>731</v>
      </c>
      <c r="H161" s="22" t="s">
        <v>272</v>
      </c>
      <c r="I161" s="34">
        <v>45871</v>
      </c>
      <c r="J161" s="34">
        <v>45872</v>
      </c>
      <c r="K161" s="22" t="s">
        <v>247</v>
      </c>
    </row>
    <row r="162" spans="1:11" x14ac:dyDescent="0.25">
      <c r="A162" s="22" t="s">
        <v>732</v>
      </c>
      <c r="B162" s="22" t="s">
        <v>733</v>
      </c>
      <c r="C162" s="22">
        <v>286</v>
      </c>
      <c r="D162" s="22" t="s">
        <v>250</v>
      </c>
      <c r="E162" s="22">
        <v>2</v>
      </c>
      <c r="F162" s="22">
        <v>220</v>
      </c>
      <c r="G162" s="22" t="s">
        <v>734</v>
      </c>
      <c r="H162" s="22" t="s">
        <v>252</v>
      </c>
      <c r="I162" s="34">
        <v>45870</v>
      </c>
      <c r="J162" s="34">
        <v>45871</v>
      </c>
      <c r="K162" s="22" t="s">
        <v>246</v>
      </c>
    </row>
    <row r="163" spans="1:11" x14ac:dyDescent="0.25">
      <c r="A163" s="22" t="s">
        <v>735</v>
      </c>
      <c r="B163" s="22" t="s">
        <v>736</v>
      </c>
      <c r="C163" s="22">
        <v>299</v>
      </c>
      <c r="D163" s="22" t="s">
        <v>255</v>
      </c>
      <c r="E163" s="22">
        <v>3</v>
      </c>
      <c r="F163" s="22">
        <v>230</v>
      </c>
      <c r="G163" s="22" t="s">
        <v>737</v>
      </c>
      <c r="H163" s="22" t="s">
        <v>257</v>
      </c>
      <c r="I163" s="34">
        <v>45869</v>
      </c>
      <c r="J163" s="34">
        <v>45870</v>
      </c>
      <c r="K163" s="22" t="s">
        <v>245</v>
      </c>
    </row>
    <row r="164" spans="1:11" x14ac:dyDescent="0.25">
      <c r="A164" s="22" t="s">
        <v>738</v>
      </c>
      <c r="B164" s="22" t="s">
        <v>739</v>
      </c>
      <c r="C164" s="22">
        <v>312</v>
      </c>
      <c r="D164" s="22" t="s">
        <v>260</v>
      </c>
      <c r="E164" s="22">
        <v>4</v>
      </c>
      <c r="F164" s="22">
        <v>240</v>
      </c>
      <c r="G164" s="22" t="s">
        <v>740</v>
      </c>
      <c r="H164" s="22" t="s">
        <v>262</v>
      </c>
      <c r="I164" s="34">
        <v>45868</v>
      </c>
      <c r="J164" s="34">
        <v>45869</v>
      </c>
      <c r="K164" s="22" t="s">
        <v>244</v>
      </c>
    </row>
    <row r="165" spans="1:11" x14ac:dyDescent="0.25">
      <c r="A165" s="22" t="s">
        <v>741</v>
      </c>
      <c r="B165" s="22" t="s">
        <v>742</v>
      </c>
      <c r="C165" s="22">
        <v>325</v>
      </c>
      <c r="D165" s="22" t="s">
        <v>265</v>
      </c>
      <c r="E165" s="22">
        <v>5</v>
      </c>
      <c r="F165" s="22">
        <v>250</v>
      </c>
      <c r="G165" s="22" t="s">
        <v>743</v>
      </c>
      <c r="H165" s="22" t="s">
        <v>267</v>
      </c>
      <c r="I165" s="34">
        <v>45867</v>
      </c>
      <c r="J165" s="34">
        <v>45868</v>
      </c>
      <c r="K165" s="22" t="s">
        <v>243</v>
      </c>
    </row>
    <row r="166" spans="1:11" x14ac:dyDescent="0.25">
      <c r="A166" s="22" t="s">
        <v>744</v>
      </c>
      <c r="B166" s="22" t="s">
        <v>745</v>
      </c>
      <c r="C166" s="22">
        <v>338</v>
      </c>
      <c r="D166" s="22" t="s">
        <v>270</v>
      </c>
      <c r="E166" s="22">
        <v>1</v>
      </c>
      <c r="F166" s="22">
        <v>260</v>
      </c>
      <c r="G166" s="22" t="s">
        <v>746</v>
      </c>
      <c r="H166" s="22" t="s">
        <v>272</v>
      </c>
      <c r="I166" s="34">
        <v>45866</v>
      </c>
      <c r="J166" s="34">
        <v>45867</v>
      </c>
      <c r="K166" s="22" t="s">
        <v>247</v>
      </c>
    </row>
    <row r="167" spans="1:11" x14ac:dyDescent="0.25">
      <c r="A167" s="22" t="s">
        <v>747</v>
      </c>
      <c r="B167" s="22" t="s">
        <v>748</v>
      </c>
      <c r="C167" s="22">
        <v>351</v>
      </c>
      <c r="D167" s="22" t="s">
        <v>250</v>
      </c>
      <c r="E167" s="22">
        <v>2</v>
      </c>
      <c r="F167" s="22">
        <v>270</v>
      </c>
      <c r="G167" s="22" t="s">
        <v>749</v>
      </c>
      <c r="H167" s="22" t="s">
        <v>252</v>
      </c>
      <c r="I167" s="34">
        <v>45865</v>
      </c>
      <c r="J167" s="34">
        <v>45866</v>
      </c>
      <c r="K167" s="22" t="s">
        <v>246</v>
      </c>
    </row>
    <row r="168" spans="1:11" x14ac:dyDescent="0.25">
      <c r="A168" s="22" t="s">
        <v>750</v>
      </c>
      <c r="B168" s="22" t="s">
        <v>751</v>
      </c>
      <c r="C168" s="22">
        <v>364</v>
      </c>
      <c r="D168" s="22" t="s">
        <v>255</v>
      </c>
      <c r="E168" s="22">
        <v>3</v>
      </c>
      <c r="F168" s="22">
        <v>280</v>
      </c>
      <c r="G168" s="22" t="s">
        <v>752</v>
      </c>
      <c r="H168" s="22" t="s">
        <v>257</v>
      </c>
      <c r="I168" s="34">
        <v>45864</v>
      </c>
      <c r="J168" s="34">
        <v>45865</v>
      </c>
      <c r="K168" s="22" t="s">
        <v>245</v>
      </c>
    </row>
    <row r="169" spans="1:11" x14ac:dyDescent="0.25">
      <c r="A169" s="22" t="s">
        <v>753</v>
      </c>
      <c r="B169" s="22" t="s">
        <v>754</v>
      </c>
      <c r="C169" s="22">
        <v>377</v>
      </c>
      <c r="D169" s="22" t="s">
        <v>260</v>
      </c>
      <c r="E169" s="22">
        <v>4</v>
      </c>
      <c r="F169" s="22">
        <v>290</v>
      </c>
      <c r="G169" s="22" t="s">
        <v>755</v>
      </c>
      <c r="H169" s="22" t="s">
        <v>262</v>
      </c>
      <c r="I169" s="34">
        <v>45863</v>
      </c>
      <c r="J169" s="34">
        <v>45864</v>
      </c>
      <c r="K169" s="22" t="s">
        <v>244</v>
      </c>
    </row>
    <row r="170" spans="1:11" x14ac:dyDescent="0.25">
      <c r="A170" s="22" t="s">
        <v>756</v>
      </c>
      <c r="B170" s="22" t="s">
        <v>757</v>
      </c>
      <c r="C170" s="22">
        <v>390</v>
      </c>
      <c r="D170" s="22" t="s">
        <v>265</v>
      </c>
      <c r="E170" s="22">
        <v>5</v>
      </c>
      <c r="F170" s="22">
        <v>300</v>
      </c>
      <c r="G170" s="22" t="s">
        <v>758</v>
      </c>
      <c r="H170" s="22" t="s">
        <v>267</v>
      </c>
      <c r="I170" s="34">
        <v>45862</v>
      </c>
      <c r="J170" s="34">
        <v>45863</v>
      </c>
      <c r="K170" s="22" t="s">
        <v>243</v>
      </c>
    </row>
    <row r="171" spans="1:11" x14ac:dyDescent="0.25">
      <c r="A171" s="22" t="s">
        <v>759</v>
      </c>
      <c r="B171" s="22" t="s">
        <v>760</v>
      </c>
      <c r="C171" s="22">
        <v>403</v>
      </c>
      <c r="D171" s="22" t="s">
        <v>270</v>
      </c>
      <c r="E171" s="22">
        <v>1</v>
      </c>
      <c r="F171" s="22">
        <v>310</v>
      </c>
      <c r="G171" s="22" t="s">
        <v>761</v>
      </c>
      <c r="H171" s="22" t="s">
        <v>272</v>
      </c>
      <c r="I171" s="34">
        <v>45861</v>
      </c>
      <c r="J171" s="34">
        <v>45862</v>
      </c>
      <c r="K171" s="22" t="s">
        <v>247</v>
      </c>
    </row>
    <row r="172" spans="1:11" x14ac:dyDescent="0.25">
      <c r="A172" s="22" t="s">
        <v>762</v>
      </c>
      <c r="B172" s="22" t="s">
        <v>763</v>
      </c>
      <c r="C172" s="22">
        <v>416</v>
      </c>
      <c r="D172" s="22" t="s">
        <v>250</v>
      </c>
      <c r="E172" s="22">
        <v>2</v>
      </c>
      <c r="F172" s="22">
        <v>320</v>
      </c>
      <c r="G172" s="22" t="s">
        <v>764</v>
      </c>
      <c r="H172" s="22" t="s">
        <v>252</v>
      </c>
      <c r="I172" s="34">
        <v>45860</v>
      </c>
      <c r="J172" s="34">
        <v>45861</v>
      </c>
      <c r="K172" s="22" t="s">
        <v>246</v>
      </c>
    </row>
    <row r="173" spans="1:11" x14ac:dyDescent="0.25">
      <c r="A173" s="22" t="s">
        <v>765</v>
      </c>
      <c r="B173" s="22" t="s">
        <v>766</v>
      </c>
      <c r="C173" s="22">
        <v>429</v>
      </c>
      <c r="D173" s="22" t="s">
        <v>255</v>
      </c>
      <c r="E173" s="22">
        <v>3</v>
      </c>
      <c r="F173" s="22">
        <v>330</v>
      </c>
      <c r="G173" s="22" t="s">
        <v>767</v>
      </c>
      <c r="H173" s="22" t="s">
        <v>257</v>
      </c>
      <c r="I173" s="34">
        <v>45859</v>
      </c>
      <c r="J173" s="34">
        <v>45860</v>
      </c>
      <c r="K173" s="22" t="s">
        <v>245</v>
      </c>
    </row>
    <row r="174" spans="1:11" x14ac:dyDescent="0.25">
      <c r="A174" s="22" t="s">
        <v>768</v>
      </c>
      <c r="B174" s="22" t="s">
        <v>769</v>
      </c>
      <c r="C174" s="22">
        <v>442</v>
      </c>
      <c r="D174" s="22" t="s">
        <v>260</v>
      </c>
      <c r="E174" s="22">
        <v>4</v>
      </c>
      <c r="F174" s="22">
        <v>340</v>
      </c>
      <c r="G174" s="22" t="s">
        <v>770</v>
      </c>
      <c r="H174" s="22" t="s">
        <v>262</v>
      </c>
      <c r="I174" s="34">
        <v>45858</v>
      </c>
      <c r="J174" s="34">
        <v>45859</v>
      </c>
      <c r="K174" s="22" t="s">
        <v>244</v>
      </c>
    </row>
    <row r="175" spans="1:11" x14ac:dyDescent="0.25">
      <c r="A175" s="22" t="s">
        <v>771</v>
      </c>
      <c r="B175" s="22" t="s">
        <v>772</v>
      </c>
      <c r="C175" s="22">
        <v>455</v>
      </c>
      <c r="D175" s="22" t="s">
        <v>265</v>
      </c>
      <c r="E175" s="22">
        <v>5</v>
      </c>
      <c r="F175" s="22">
        <v>350</v>
      </c>
      <c r="G175" s="22" t="s">
        <v>773</v>
      </c>
      <c r="H175" s="22" t="s">
        <v>267</v>
      </c>
      <c r="I175" s="34">
        <v>45857</v>
      </c>
      <c r="J175" s="34">
        <v>45858</v>
      </c>
      <c r="K175" s="22" t="s">
        <v>243</v>
      </c>
    </row>
    <row r="176" spans="1:11" x14ac:dyDescent="0.25">
      <c r="A176" s="22" t="s">
        <v>774</v>
      </c>
      <c r="B176" s="22" t="s">
        <v>775</v>
      </c>
      <c r="C176" s="22">
        <v>468</v>
      </c>
      <c r="D176" s="22" t="s">
        <v>270</v>
      </c>
      <c r="E176" s="22">
        <v>1</v>
      </c>
      <c r="F176" s="22">
        <v>360</v>
      </c>
      <c r="G176" s="22" t="s">
        <v>776</v>
      </c>
      <c r="H176" s="22" t="s">
        <v>272</v>
      </c>
      <c r="I176" s="34">
        <v>45856</v>
      </c>
      <c r="J176" s="34">
        <v>45857</v>
      </c>
      <c r="K176" s="22" t="s">
        <v>247</v>
      </c>
    </row>
    <row r="177" spans="1:11" x14ac:dyDescent="0.25">
      <c r="A177" s="22" t="s">
        <v>777</v>
      </c>
      <c r="B177" s="22" t="s">
        <v>778</v>
      </c>
      <c r="C177" s="22">
        <v>481</v>
      </c>
      <c r="D177" s="22" t="s">
        <v>250</v>
      </c>
      <c r="E177" s="22">
        <v>2</v>
      </c>
      <c r="F177" s="22">
        <v>370</v>
      </c>
      <c r="G177" s="22" t="s">
        <v>779</v>
      </c>
      <c r="H177" s="22" t="s">
        <v>252</v>
      </c>
      <c r="I177" s="34">
        <v>45855</v>
      </c>
      <c r="J177" s="34">
        <v>45856</v>
      </c>
      <c r="K177" s="22" t="s">
        <v>246</v>
      </c>
    </row>
    <row r="178" spans="1:11" x14ac:dyDescent="0.25">
      <c r="A178" s="22" t="s">
        <v>780</v>
      </c>
      <c r="B178" s="22" t="s">
        <v>781</v>
      </c>
      <c r="C178" s="22">
        <v>494</v>
      </c>
      <c r="D178" s="22" t="s">
        <v>255</v>
      </c>
      <c r="E178" s="22">
        <v>3</v>
      </c>
      <c r="F178" s="22">
        <v>380</v>
      </c>
      <c r="G178" s="22" t="s">
        <v>782</v>
      </c>
      <c r="H178" s="22" t="s">
        <v>257</v>
      </c>
      <c r="I178" s="34">
        <v>45854</v>
      </c>
      <c r="J178" s="34">
        <v>45855</v>
      </c>
      <c r="K178" s="22" t="s">
        <v>245</v>
      </c>
    </row>
    <row r="179" spans="1:11" x14ac:dyDescent="0.25">
      <c r="A179" s="22" t="s">
        <v>783</v>
      </c>
      <c r="B179" s="22" t="s">
        <v>784</v>
      </c>
      <c r="C179" s="22">
        <v>507</v>
      </c>
      <c r="D179" s="22" t="s">
        <v>260</v>
      </c>
      <c r="E179" s="22">
        <v>4</v>
      </c>
      <c r="F179" s="22">
        <v>390</v>
      </c>
      <c r="G179" s="22" t="s">
        <v>785</v>
      </c>
      <c r="H179" s="22" t="s">
        <v>262</v>
      </c>
      <c r="I179" s="34">
        <v>45853</v>
      </c>
      <c r="J179" s="34">
        <v>45854</v>
      </c>
      <c r="K179" s="22" t="s">
        <v>244</v>
      </c>
    </row>
    <row r="180" spans="1:11" x14ac:dyDescent="0.25">
      <c r="A180" s="22" t="s">
        <v>786</v>
      </c>
      <c r="B180" s="22" t="s">
        <v>787</v>
      </c>
      <c r="C180" s="22">
        <v>520</v>
      </c>
      <c r="D180" s="22" t="s">
        <v>265</v>
      </c>
      <c r="E180" s="22">
        <v>5</v>
      </c>
      <c r="F180" s="22">
        <v>400</v>
      </c>
      <c r="G180" s="22" t="s">
        <v>788</v>
      </c>
      <c r="H180" s="22" t="s">
        <v>267</v>
      </c>
      <c r="I180" s="34">
        <v>45852</v>
      </c>
      <c r="J180" s="34">
        <v>46033</v>
      </c>
      <c r="K180" s="22" t="s">
        <v>243</v>
      </c>
    </row>
    <row r="181" spans="1:11" x14ac:dyDescent="0.25">
      <c r="A181" s="22" t="s">
        <v>789</v>
      </c>
      <c r="B181" s="22" t="s">
        <v>790</v>
      </c>
      <c r="C181" s="22">
        <v>533</v>
      </c>
      <c r="D181" s="22" t="s">
        <v>270</v>
      </c>
      <c r="E181" s="22">
        <v>1</v>
      </c>
      <c r="F181" s="22">
        <v>410</v>
      </c>
      <c r="G181" s="22" t="s">
        <v>791</v>
      </c>
      <c r="H181" s="22" t="s">
        <v>272</v>
      </c>
      <c r="I181" s="34">
        <v>45851</v>
      </c>
      <c r="J181" s="34">
        <v>46032</v>
      </c>
      <c r="K181" s="22" t="s">
        <v>247</v>
      </c>
    </row>
    <row r="182" spans="1:11" x14ac:dyDescent="0.25">
      <c r="A182" s="22" t="s">
        <v>792</v>
      </c>
      <c r="B182" s="22" t="s">
        <v>793</v>
      </c>
      <c r="C182" s="22">
        <v>546</v>
      </c>
      <c r="D182" s="22" t="s">
        <v>250</v>
      </c>
      <c r="E182" s="22">
        <v>2</v>
      </c>
      <c r="F182" s="22">
        <v>420</v>
      </c>
      <c r="G182" s="22" t="s">
        <v>794</v>
      </c>
      <c r="H182" s="22" t="s">
        <v>252</v>
      </c>
      <c r="I182" s="34">
        <v>45850</v>
      </c>
      <c r="J182" s="34">
        <v>46031</v>
      </c>
      <c r="K182" s="22" t="s">
        <v>246</v>
      </c>
    </row>
    <row r="183" spans="1:11" x14ac:dyDescent="0.25">
      <c r="A183" s="22" t="s">
        <v>795</v>
      </c>
      <c r="B183" s="22" t="s">
        <v>796</v>
      </c>
      <c r="C183" s="22">
        <v>559</v>
      </c>
      <c r="D183" s="22" t="s">
        <v>255</v>
      </c>
      <c r="E183" s="22">
        <v>3</v>
      </c>
      <c r="F183" s="22">
        <v>430</v>
      </c>
      <c r="G183" s="22" t="s">
        <v>797</v>
      </c>
      <c r="H183" s="22" t="s">
        <v>257</v>
      </c>
      <c r="I183" s="34">
        <v>45849</v>
      </c>
      <c r="J183" s="34">
        <v>46030</v>
      </c>
      <c r="K183" s="22" t="s">
        <v>245</v>
      </c>
    </row>
    <row r="184" spans="1:11" x14ac:dyDescent="0.25">
      <c r="A184" s="22" t="s">
        <v>798</v>
      </c>
      <c r="B184" s="22" t="s">
        <v>799</v>
      </c>
      <c r="C184" s="22">
        <v>572</v>
      </c>
      <c r="D184" s="22" t="s">
        <v>260</v>
      </c>
      <c r="E184" s="22">
        <v>4</v>
      </c>
      <c r="F184" s="22">
        <v>440</v>
      </c>
      <c r="G184" s="22" t="s">
        <v>800</v>
      </c>
      <c r="H184" s="22" t="s">
        <v>262</v>
      </c>
      <c r="I184" s="34">
        <v>45848</v>
      </c>
      <c r="J184" s="34">
        <v>46029</v>
      </c>
      <c r="K184" s="22" t="s">
        <v>244</v>
      </c>
    </row>
    <row r="185" spans="1:11" x14ac:dyDescent="0.25">
      <c r="A185" s="22" t="s">
        <v>801</v>
      </c>
      <c r="B185" s="22" t="s">
        <v>802</v>
      </c>
      <c r="C185" s="22">
        <v>585</v>
      </c>
      <c r="D185" s="22" t="s">
        <v>265</v>
      </c>
      <c r="E185" s="22">
        <v>5</v>
      </c>
      <c r="F185" s="22">
        <v>450</v>
      </c>
      <c r="G185" s="22" t="s">
        <v>803</v>
      </c>
      <c r="H185" s="22" t="s">
        <v>267</v>
      </c>
      <c r="I185" s="34">
        <v>45847</v>
      </c>
      <c r="J185" s="34">
        <v>46028</v>
      </c>
      <c r="K185" s="22" t="s">
        <v>243</v>
      </c>
    </row>
    <row r="186" spans="1:11" x14ac:dyDescent="0.25">
      <c r="A186" s="22" t="s">
        <v>804</v>
      </c>
      <c r="B186" s="22" t="s">
        <v>805</v>
      </c>
      <c r="C186" s="22">
        <v>598</v>
      </c>
      <c r="D186" s="22" t="s">
        <v>270</v>
      </c>
      <c r="E186" s="22">
        <v>1</v>
      </c>
      <c r="F186" s="22">
        <v>460</v>
      </c>
      <c r="G186" s="22" t="s">
        <v>806</v>
      </c>
      <c r="H186" s="22" t="s">
        <v>272</v>
      </c>
      <c r="I186" s="34">
        <v>45846</v>
      </c>
      <c r="J186" s="34">
        <v>46027</v>
      </c>
      <c r="K186" s="22" t="s">
        <v>247</v>
      </c>
    </row>
    <row r="187" spans="1:11" x14ac:dyDescent="0.25">
      <c r="A187" s="22" t="s">
        <v>807</v>
      </c>
      <c r="B187" s="22" t="s">
        <v>808</v>
      </c>
      <c r="C187" s="22">
        <v>611</v>
      </c>
      <c r="D187" s="22" t="s">
        <v>250</v>
      </c>
      <c r="E187" s="22">
        <v>2</v>
      </c>
      <c r="F187" s="22">
        <v>470</v>
      </c>
      <c r="G187" s="22" t="s">
        <v>809</v>
      </c>
      <c r="H187" s="22" t="s">
        <v>252</v>
      </c>
      <c r="I187" s="34">
        <v>45845</v>
      </c>
      <c r="J187" s="34">
        <v>46026</v>
      </c>
      <c r="K187" s="22" t="s">
        <v>246</v>
      </c>
    </row>
    <row r="188" spans="1:11" x14ac:dyDescent="0.25">
      <c r="A188" s="22" t="s">
        <v>810</v>
      </c>
      <c r="B188" s="22" t="s">
        <v>811</v>
      </c>
      <c r="C188" s="22">
        <v>624</v>
      </c>
      <c r="D188" s="22" t="s">
        <v>255</v>
      </c>
      <c r="E188" s="22">
        <v>3</v>
      </c>
      <c r="F188" s="22">
        <v>480</v>
      </c>
      <c r="G188" s="22" t="s">
        <v>812</v>
      </c>
      <c r="H188" s="22" t="s">
        <v>257</v>
      </c>
      <c r="I188" s="34">
        <v>45844</v>
      </c>
      <c r="J188" s="34">
        <v>46025</v>
      </c>
      <c r="K188" s="22" t="s">
        <v>245</v>
      </c>
    </row>
    <row r="189" spans="1:11" x14ac:dyDescent="0.25">
      <c r="A189" s="22" t="s">
        <v>813</v>
      </c>
      <c r="B189" s="22" t="s">
        <v>814</v>
      </c>
      <c r="C189" s="22">
        <v>637</v>
      </c>
      <c r="D189" s="22" t="s">
        <v>260</v>
      </c>
      <c r="E189" s="22">
        <v>4</v>
      </c>
      <c r="F189" s="22">
        <v>490</v>
      </c>
      <c r="G189" s="22" t="s">
        <v>815</v>
      </c>
      <c r="H189" s="22" t="s">
        <v>262</v>
      </c>
      <c r="I189" s="34">
        <v>45843</v>
      </c>
      <c r="J189" s="34">
        <v>46024</v>
      </c>
      <c r="K189" s="22" t="s">
        <v>244</v>
      </c>
    </row>
    <row r="190" spans="1:11" x14ac:dyDescent="0.25">
      <c r="A190" s="22" t="s">
        <v>816</v>
      </c>
      <c r="B190" s="22" t="s">
        <v>233</v>
      </c>
      <c r="C190" s="22">
        <v>650</v>
      </c>
      <c r="D190" s="22" t="s">
        <v>265</v>
      </c>
      <c r="E190" s="22">
        <v>5</v>
      </c>
      <c r="F190" s="22">
        <v>500</v>
      </c>
      <c r="G190" s="22" t="s">
        <v>817</v>
      </c>
      <c r="H190" s="22" t="s">
        <v>267</v>
      </c>
      <c r="I190" s="34">
        <v>45842</v>
      </c>
      <c r="J190" s="34">
        <v>46023</v>
      </c>
      <c r="K190" s="22" t="s">
        <v>243</v>
      </c>
    </row>
    <row r="191" spans="1:11" x14ac:dyDescent="0.25">
      <c r="A191" s="22" t="s">
        <v>818</v>
      </c>
      <c r="B191" s="22" t="s">
        <v>819</v>
      </c>
      <c r="C191" s="22">
        <v>663</v>
      </c>
      <c r="D191" s="22" t="s">
        <v>270</v>
      </c>
      <c r="E191" s="22">
        <v>1</v>
      </c>
      <c r="F191" s="22">
        <v>510</v>
      </c>
      <c r="G191" s="22" t="s">
        <v>820</v>
      </c>
      <c r="H191" s="22" t="s">
        <v>272</v>
      </c>
      <c r="I191" s="34">
        <v>45841</v>
      </c>
      <c r="J191" s="34">
        <v>46022</v>
      </c>
      <c r="K191" s="22" t="s">
        <v>247</v>
      </c>
    </row>
    <row r="192" spans="1:11" x14ac:dyDescent="0.25">
      <c r="A192" s="22" t="s">
        <v>821</v>
      </c>
      <c r="B192" s="22" t="s">
        <v>822</v>
      </c>
      <c r="C192" s="22">
        <v>676</v>
      </c>
      <c r="D192" s="22" t="s">
        <v>250</v>
      </c>
      <c r="E192" s="22">
        <v>2</v>
      </c>
      <c r="F192" s="22">
        <v>520</v>
      </c>
      <c r="G192" s="22" t="s">
        <v>823</v>
      </c>
      <c r="H192" s="22" t="s">
        <v>252</v>
      </c>
      <c r="I192" s="34">
        <v>45840</v>
      </c>
      <c r="J192" s="34">
        <v>46021</v>
      </c>
      <c r="K192" s="22" t="s">
        <v>246</v>
      </c>
    </row>
    <row r="193" spans="1:11" x14ac:dyDescent="0.25">
      <c r="A193" s="22" t="s">
        <v>824</v>
      </c>
      <c r="B193" s="22" t="s">
        <v>825</v>
      </c>
      <c r="C193" s="22">
        <v>689</v>
      </c>
      <c r="D193" s="22" t="s">
        <v>255</v>
      </c>
      <c r="E193" s="22">
        <v>3</v>
      </c>
      <c r="F193" s="22">
        <v>530</v>
      </c>
      <c r="G193" s="22" t="s">
        <v>826</v>
      </c>
      <c r="H193" s="22" t="s">
        <v>257</v>
      </c>
      <c r="I193" s="34">
        <v>45839</v>
      </c>
      <c r="J193" s="34">
        <v>46020</v>
      </c>
      <c r="K193" s="22" t="s">
        <v>245</v>
      </c>
    </row>
    <row r="194" spans="1:11" x14ac:dyDescent="0.25">
      <c r="A194" s="22" t="s">
        <v>827</v>
      </c>
      <c r="B194" s="22" t="s">
        <v>828</v>
      </c>
      <c r="C194" s="22">
        <v>702</v>
      </c>
      <c r="D194" s="22" t="s">
        <v>260</v>
      </c>
      <c r="E194" s="22">
        <v>4</v>
      </c>
      <c r="F194" s="22">
        <v>540</v>
      </c>
      <c r="G194" s="22" t="s">
        <v>829</v>
      </c>
      <c r="H194" s="22" t="s">
        <v>262</v>
      </c>
      <c r="I194" s="34">
        <v>45838</v>
      </c>
      <c r="J194" s="34">
        <v>46019</v>
      </c>
      <c r="K194" s="22" t="s">
        <v>244</v>
      </c>
    </row>
    <row r="195" spans="1:11" x14ac:dyDescent="0.25">
      <c r="A195" s="22" t="s">
        <v>830</v>
      </c>
      <c r="B195" s="22" t="s">
        <v>230</v>
      </c>
      <c r="C195" s="22">
        <v>715</v>
      </c>
      <c r="D195" s="22" t="s">
        <v>265</v>
      </c>
      <c r="E195" s="22">
        <v>5</v>
      </c>
      <c r="F195" s="22">
        <v>550</v>
      </c>
      <c r="G195" s="22" t="s">
        <v>831</v>
      </c>
      <c r="H195" s="22" t="s">
        <v>267</v>
      </c>
      <c r="I195" s="34">
        <v>45837</v>
      </c>
      <c r="J195" s="34">
        <v>46018</v>
      </c>
      <c r="K195" s="22" t="s">
        <v>243</v>
      </c>
    </row>
    <row r="196" spans="1:11" x14ac:dyDescent="0.25">
      <c r="A196" s="22" t="s">
        <v>832</v>
      </c>
      <c r="B196" s="22" t="s">
        <v>833</v>
      </c>
      <c r="C196" s="22">
        <v>728</v>
      </c>
      <c r="D196" s="22" t="s">
        <v>270</v>
      </c>
      <c r="E196" s="22">
        <v>1</v>
      </c>
      <c r="F196" s="22">
        <v>560</v>
      </c>
      <c r="G196" s="22" t="s">
        <v>834</v>
      </c>
      <c r="H196" s="22" t="s">
        <v>272</v>
      </c>
      <c r="I196" s="34">
        <v>45836</v>
      </c>
      <c r="J196" s="34">
        <v>46017</v>
      </c>
      <c r="K196" s="22" t="s">
        <v>247</v>
      </c>
    </row>
    <row r="197" spans="1:11" x14ac:dyDescent="0.25">
      <c r="A197" s="22" t="s">
        <v>835</v>
      </c>
      <c r="B197" s="22" t="s">
        <v>836</v>
      </c>
      <c r="C197" s="22">
        <v>741</v>
      </c>
      <c r="D197" s="22" t="s">
        <v>250</v>
      </c>
      <c r="E197" s="22">
        <v>2</v>
      </c>
      <c r="F197" s="22">
        <v>570</v>
      </c>
      <c r="G197" s="22" t="s">
        <v>837</v>
      </c>
      <c r="H197" s="22" t="s">
        <v>252</v>
      </c>
      <c r="I197" s="34">
        <v>45835</v>
      </c>
      <c r="J197" s="34">
        <v>46016</v>
      </c>
      <c r="K197" s="22" t="s">
        <v>246</v>
      </c>
    </row>
    <row r="198" spans="1:11" x14ac:dyDescent="0.25">
      <c r="A198" s="22" t="s">
        <v>838</v>
      </c>
      <c r="B198" s="22" t="s">
        <v>839</v>
      </c>
      <c r="C198" s="22">
        <v>754</v>
      </c>
      <c r="D198" s="22" t="s">
        <v>255</v>
      </c>
      <c r="E198" s="22">
        <v>3</v>
      </c>
      <c r="F198" s="22">
        <v>580</v>
      </c>
      <c r="G198" s="22" t="s">
        <v>840</v>
      </c>
      <c r="H198" s="22" t="s">
        <v>257</v>
      </c>
      <c r="I198" s="34">
        <v>45834</v>
      </c>
      <c r="J198" s="34">
        <v>46015</v>
      </c>
      <c r="K198" s="22" t="s">
        <v>245</v>
      </c>
    </row>
    <row r="199" spans="1:11" x14ac:dyDescent="0.25">
      <c r="A199" s="22" t="s">
        <v>841</v>
      </c>
      <c r="B199" s="22" t="s">
        <v>842</v>
      </c>
      <c r="C199" s="22">
        <v>767</v>
      </c>
      <c r="D199" s="22" t="s">
        <v>260</v>
      </c>
      <c r="E199" s="22">
        <v>4</v>
      </c>
      <c r="F199" s="22">
        <v>590</v>
      </c>
      <c r="G199" s="22" t="s">
        <v>843</v>
      </c>
      <c r="H199" s="22" t="s">
        <v>262</v>
      </c>
      <c r="I199" s="34">
        <v>45833</v>
      </c>
      <c r="J199" s="34">
        <v>46014</v>
      </c>
      <c r="K199" s="22" t="s">
        <v>244</v>
      </c>
    </row>
    <row r="200" spans="1:11" x14ac:dyDescent="0.25">
      <c r="A200" s="22" t="s">
        <v>844</v>
      </c>
      <c r="B200" s="22" t="s">
        <v>845</v>
      </c>
      <c r="C200" s="22">
        <v>130</v>
      </c>
      <c r="D200" s="22" t="s">
        <v>265</v>
      </c>
      <c r="E200" s="22">
        <v>5</v>
      </c>
      <c r="F200" s="22">
        <v>100</v>
      </c>
      <c r="G200" s="22" t="s">
        <v>846</v>
      </c>
      <c r="H200" s="22" t="s">
        <v>267</v>
      </c>
      <c r="I200" s="34">
        <v>45832</v>
      </c>
      <c r="J200" s="34">
        <v>46013</v>
      </c>
      <c r="K200" s="22" t="s">
        <v>243</v>
      </c>
    </row>
    <row r="201" spans="1:11" x14ac:dyDescent="0.25">
      <c r="A201" s="22" t="s">
        <v>847</v>
      </c>
      <c r="B201" s="22" t="s">
        <v>848</v>
      </c>
      <c r="C201" s="22">
        <v>143</v>
      </c>
      <c r="D201" s="22" t="s">
        <v>270</v>
      </c>
      <c r="E201" s="22">
        <v>1</v>
      </c>
      <c r="F201" s="22">
        <v>110</v>
      </c>
      <c r="G201" s="22" t="s">
        <v>849</v>
      </c>
      <c r="H201" s="22" t="s">
        <v>272</v>
      </c>
      <c r="I201" s="34">
        <v>45831</v>
      </c>
      <c r="J201" s="34">
        <v>46012</v>
      </c>
      <c r="K201" s="22" t="s">
        <v>247</v>
      </c>
    </row>
    <row r="202" spans="1:11" x14ac:dyDescent="0.25">
      <c r="A202" s="22" t="s">
        <v>850</v>
      </c>
      <c r="B202" s="22" t="s">
        <v>851</v>
      </c>
      <c r="C202" s="22">
        <v>156</v>
      </c>
      <c r="D202" s="22" t="s">
        <v>250</v>
      </c>
      <c r="E202" s="22">
        <v>2</v>
      </c>
      <c r="F202" s="22">
        <v>120</v>
      </c>
      <c r="G202" s="22" t="s">
        <v>852</v>
      </c>
      <c r="H202" s="22" t="s">
        <v>252</v>
      </c>
      <c r="I202" s="34">
        <v>45830</v>
      </c>
      <c r="J202" s="34">
        <v>46011</v>
      </c>
      <c r="K202" s="22" t="s">
        <v>246</v>
      </c>
    </row>
    <row r="203" spans="1:11" x14ac:dyDescent="0.25">
      <c r="A203" s="22" t="s">
        <v>853</v>
      </c>
      <c r="B203" s="22" t="s">
        <v>854</v>
      </c>
      <c r="C203" s="22">
        <v>169</v>
      </c>
      <c r="D203" s="22" t="s">
        <v>255</v>
      </c>
      <c r="E203" s="22">
        <v>3</v>
      </c>
      <c r="F203" s="22">
        <v>130</v>
      </c>
      <c r="G203" s="22" t="s">
        <v>855</v>
      </c>
      <c r="H203" s="22" t="s">
        <v>257</v>
      </c>
      <c r="I203" s="34">
        <v>45829</v>
      </c>
      <c r="J203" s="34">
        <v>46010</v>
      </c>
      <c r="K203" s="22" t="s">
        <v>245</v>
      </c>
    </row>
    <row r="204" spans="1:11" x14ac:dyDescent="0.25">
      <c r="A204" s="22" t="s">
        <v>856</v>
      </c>
      <c r="B204" s="22" t="s">
        <v>857</v>
      </c>
      <c r="C204" s="22">
        <v>182</v>
      </c>
      <c r="D204" s="22" t="s">
        <v>260</v>
      </c>
      <c r="E204" s="22">
        <v>4</v>
      </c>
      <c r="F204" s="22">
        <v>140</v>
      </c>
      <c r="G204" s="22" t="s">
        <v>858</v>
      </c>
      <c r="H204" s="22" t="s">
        <v>262</v>
      </c>
      <c r="I204" s="34">
        <v>45828</v>
      </c>
      <c r="J204" s="34">
        <v>46009</v>
      </c>
      <c r="K204" s="22" t="s">
        <v>244</v>
      </c>
    </row>
    <row r="205" spans="1:11" x14ac:dyDescent="0.25">
      <c r="A205" s="22" t="s">
        <v>859</v>
      </c>
      <c r="B205" s="22" t="s">
        <v>860</v>
      </c>
      <c r="C205" s="22">
        <v>195</v>
      </c>
      <c r="D205" s="22" t="s">
        <v>265</v>
      </c>
      <c r="E205" s="22">
        <v>5</v>
      </c>
      <c r="F205" s="22">
        <v>150</v>
      </c>
      <c r="G205" s="22" t="s">
        <v>861</v>
      </c>
      <c r="H205" s="22" t="s">
        <v>267</v>
      </c>
      <c r="I205" s="34">
        <v>45827</v>
      </c>
      <c r="J205" s="34">
        <v>46008</v>
      </c>
      <c r="K205" s="22" t="s">
        <v>243</v>
      </c>
    </row>
    <row r="206" spans="1:11" x14ac:dyDescent="0.25">
      <c r="A206" s="22" t="s">
        <v>862</v>
      </c>
      <c r="B206" s="22" t="s">
        <v>863</v>
      </c>
      <c r="C206" s="22">
        <v>208</v>
      </c>
      <c r="D206" s="22" t="s">
        <v>270</v>
      </c>
      <c r="E206" s="22">
        <v>1</v>
      </c>
      <c r="F206" s="22">
        <v>160</v>
      </c>
      <c r="G206" s="22" t="s">
        <v>864</v>
      </c>
      <c r="H206" s="22" t="s">
        <v>272</v>
      </c>
      <c r="I206" s="34">
        <v>45826</v>
      </c>
      <c r="J206" s="34">
        <v>46007</v>
      </c>
      <c r="K206" s="22" t="s">
        <v>247</v>
      </c>
    </row>
    <row r="207" spans="1:11" x14ac:dyDescent="0.25">
      <c r="A207" s="22" t="s">
        <v>865</v>
      </c>
      <c r="B207" s="22" t="s">
        <v>866</v>
      </c>
      <c r="C207" s="22">
        <v>221</v>
      </c>
      <c r="D207" s="22" t="s">
        <v>250</v>
      </c>
      <c r="E207" s="22">
        <v>2</v>
      </c>
      <c r="F207" s="22">
        <v>170</v>
      </c>
      <c r="G207" s="22" t="s">
        <v>867</v>
      </c>
      <c r="H207" s="22" t="s">
        <v>252</v>
      </c>
      <c r="I207" s="34">
        <v>45825</v>
      </c>
      <c r="J207" s="34">
        <v>46006</v>
      </c>
      <c r="K207" s="22" t="s">
        <v>246</v>
      </c>
    </row>
    <row r="208" spans="1:11" x14ac:dyDescent="0.25">
      <c r="A208" s="22" t="s">
        <v>868</v>
      </c>
      <c r="B208" s="22" t="s">
        <v>869</v>
      </c>
      <c r="C208" s="22">
        <v>234</v>
      </c>
      <c r="D208" s="22" t="s">
        <v>255</v>
      </c>
      <c r="E208" s="22">
        <v>3</v>
      </c>
      <c r="F208" s="22">
        <v>180</v>
      </c>
      <c r="G208" s="22" t="s">
        <v>870</v>
      </c>
      <c r="H208" s="22" t="s">
        <v>257</v>
      </c>
      <c r="I208" s="34">
        <v>45824</v>
      </c>
      <c r="J208" s="34">
        <v>46005</v>
      </c>
      <c r="K208" s="22" t="s">
        <v>245</v>
      </c>
    </row>
    <row r="209" spans="1:11" x14ac:dyDescent="0.25">
      <c r="A209" s="22" t="s">
        <v>871</v>
      </c>
      <c r="B209" s="22" t="s">
        <v>872</v>
      </c>
      <c r="C209" s="22">
        <v>247</v>
      </c>
      <c r="D209" s="22" t="s">
        <v>260</v>
      </c>
      <c r="E209" s="22">
        <v>4</v>
      </c>
      <c r="F209" s="22">
        <v>190</v>
      </c>
      <c r="G209" s="22" t="s">
        <v>873</v>
      </c>
      <c r="H209" s="22" t="s">
        <v>262</v>
      </c>
      <c r="I209" s="34">
        <v>45823</v>
      </c>
      <c r="J209" s="34">
        <v>46004</v>
      </c>
      <c r="K209" s="22" t="s">
        <v>244</v>
      </c>
    </row>
    <row r="210" spans="1:11" x14ac:dyDescent="0.25">
      <c r="A210" s="22" t="s">
        <v>874</v>
      </c>
      <c r="B210" s="22" t="s">
        <v>875</v>
      </c>
      <c r="C210" s="22">
        <v>260</v>
      </c>
      <c r="D210" s="22" t="s">
        <v>265</v>
      </c>
      <c r="E210" s="22">
        <v>5</v>
      </c>
      <c r="F210" s="22">
        <v>200</v>
      </c>
      <c r="G210" s="22" t="s">
        <v>876</v>
      </c>
      <c r="H210" s="22" t="s">
        <v>267</v>
      </c>
      <c r="I210" s="34">
        <v>45822</v>
      </c>
      <c r="J210" s="34">
        <v>46003</v>
      </c>
      <c r="K210" s="22" t="s">
        <v>243</v>
      </c>
    </row>
    <row r="211" spans="1:11" x14ac:dyDescent="0.25">
      <c r="A211" s="22" t="s">
        <v>877</v>
      </c>
      <c r="B211" s="22" t="s">
        <v>878</v>
      </c>
      <c r="C211" s="22">
        <v>273</v>
      </c>
      <c r="D211" s="22" t="s">
        <v>270</v>
      </c>
      <c r="E211" s="22">
        <v>1</v>
      </c>
      <c r="F211" s="22">
        <v>210</v>
      </c>
      <c r="G211" s="22" t="s">
        <v>879</v>
      </c>
      <c r="H211" s="22" t="s">
        <v>272</v>
      </c>
      <c r="I211" s="34">
        <v>45821</v>
      </c>
      <c r="J211" s="34">
        <v>46002</v>
      </c>
      <c r="K211" s="22" t="s">
        <v>247</v>
      </c>
    </row>
    <row r="212" spans="1:11" x14ac:dyDescent="0.25">
      <c r="A212" s="22" t="s">
        <v>880</v>
      </c>
      <c r="B212" s="22" t="s">
        <v>881</v>
      </c>
      <c r="C212" s="22">
        <v>286</v>
      </c>
      <c r="D212" s="22" t="s">
        <v>250</v>
      </c>
      <c r="E212" s="22">
        <v>2</v>
      </c>
      <c r="F212" s="22">
        <v>220</v>
      </c>
      <c r="G212" s="22" t="s">
        <v>882</v>
      </c>
      <c r="H212" s="22" t="s">
        <v>252</v>
      </c>
      <c r="I212" s="34">
        <v>45820</v>
      </c>
      <c r="J212" s="34">
        <v>46001</v>
      </c>
      <c r="K212" s="22" t="s">
        <v>246</v>
      </c>
    </row>
    <row r="213" spans="1:11" x14ac:dyDescent="0.25">
      <c r="A213" s="22" t="s">
        <v>883</v>
      </c>
      <c r="B213" s="22" t="s">
        <v>884</v>
      </c>
      <c r="C213" s="22">
        <v>299</v>
      </c>
      <c r="D213" s="22" t="s">
        <v>255</v>
      </c>
      <c r="E213" s="22">
        <v>3</v>
      </c>
      <c r="F213" s="22">
        <v>230</v>
      </c>
      <c r="G213" s="22" t="s">
        <v>885</v>
      </c>
      <c r="H213" s="22" t="s">
        <v>257</v>
      </c>
      <c r="I213" s="34">
        <v>45819</v>
      </c>
      <c r="J213" s="34">
        <v>46000</v>
      </c>
      <c r="K213" s="22" t="s">
        <v>245</v>
      </c>
    </row>
    <row r="214" spans="1:11" x14ac:dyDescent="0.25">
      <c r="A214" s="22" t="s">
        <v>886</v>
      </c>
      <c r="B214" s="22" t="s">
        <v>887</v>
      </c>
      <c r="C214" s="22">
        <v>312</v>
      </c>
      <c r="D214" s="22" t="s">
        <v>260</v>
      </c>
      <c r="E214" s="22">
        <v>4</v>
      </c>
      <c r="F214" s="22">
        <v>240</v>
      </c>
      <c r="G214" s="22" t="s">
        <v>888</v>
      </c>
      <c r="H214" s="22" t="s">
        <v>262</v>
      </c>
      <c r="I214" s="34">
        <v>45818</v>
      </c>
      <c r="J214" s="34">
        <v>45999</v>
      </c>
      <c r="K214" s="22" t="s">
        <v>244</v>
      </c>
    </row>
    <row r="215" spans="1:11" x14ac:dyDescent="0.25">
      <c r="A215" s="22" t="s">
        <v>889</v>
      </c>
      <c r="B215" s="22" t="s">
        <v>890</v>
      </c>
      <c r="C215" s="22">
        <v>325</v>
      </c>
      <c r="D215" s="22" t="s">
        <v>265</v>
      </c>
      <c r="E215" s="22">
        <v>5</v>
      </c>
      <c r="F215" s="22">
        <v>250</v>
      </c>
      <c r="G215" s="22" t="s">
        <v>891</v>
      </c>
      <c r="H215" s="22" t="s">
        <v>267</v>
      </c>
      <c r="I215" s="34">
        <v>45817</v>
      </c>
      <c r="J215" s="34">
        <v>45998</v>
      </c>
      <c r="K215" s="22" t="s">
        <v>243</v>
      </c>
    </row>
    <row r="216" spans="1:11" x14ac:dyDescent="0.25">
      <c r="A216" s="22" t="s">
        <v>892</v>
      </c>
      <c r="B216" s="22" t="s">
        <v>893</v>
      </c>
      <c r="C216" s="22">
        <v>338</v>
      </c>
      <c r="D216" s="22" t="s">
        <v>270</v>
      </c>
      <c r="E216" s="22">
        <v>1</v>
      </c>
      <c r="F216" s="22">
        <v>260</v>
      </c>
      <c r="G216" s="22" t="s">
        <v>894</v>
      </c>
      <c r="H216" s="22" t="s">
        <v>272</v>
      </c>
      <c r="I216" s="34">
        <v>45816</v>
      </c>
      <c r="J216" s="34">
        <v>45997</v>
      </c>
      <c r="K216" s="22" t="s">
        <v>247</v>
      </c>
    </row>
    <row r="217" spans="1:11" x14ac:dyDescent="0.25">
      <c r="A217" s="22" t="s">
        <v>895</v>
      </c>
      <c r="B217" s="22" t="s">
        <v>896</v>
      </c>
      <c r="C217" s="22">
        <v>351</v>
      </c>
      <c r="D217" s="22" t="s">
        <v>250</v>
      </c>
      <c r="E217" s="22">
        <v>2</v>
      </c>
      <c r="F217" s="22">
        <v>270</v>
      </c>
      <c r="G217" s="22" t="s">
        <v>897</v>
      </c>
      <c r="H217" s="22" t="s">
        <v>252</v>
      </c>
      <c r="I217" s="34">
        <v>45815</v>
      </c>
      <c r="J217" s="34">
        <v>45996</v>
      </c>
      <c r="K217" s="22" t="s">
        <v>246</v>
      </c>
    </row>
    <row r="218" spans="1:11" x14ac:dyDescent="0.25">
      <c r="A218" s="22" t="s">
        <v>898</v>
      </c>
      <c r="B218" s="22" t="s">
        <v>899</v>
      </c>
      <c r="C218" s="22">
        <v>364</v>
      </c>
      <c r="D218" s="22" t="s">
        <v>255</v>
      </c>
      <c r="E218" s="22">
        <v>3</v>
      </c>
      <c r="F218" s="22">
        <v>280</v>
      </c>
      <c r="G218" s="22" t="s">
        <v>900</v>
      </c>
      <c r="H218" s="22" t="s">
        <v>257</v>
      </c>
      <c r="I218" s="34">
        <v>45814</v>
      </c>
      <c r="J218" s="34">
        <v>45995</v>
      </c>
      <c r="K218" s="22" t="s">
        <v>245</v>
      </c>
    </row>
    <row r="219" spans="1:11" x14ac:dyDescent="0.25">
      <c r="A219" s="22" t="s">
        <v>901</v>
      </c>
      <c r="B219" s="22" t="s">
        <v>902</v>
      </c>
      <c r="C219" s="22">
        <v>377</v>
      </c>
      <c r="D219" s="22" t="s">
        <v>260</v>
      </c>
      <c r="E219" s="22">
        <v>4</v>
      </c>
      <c r="F219" s="22">
        <v>290</v>
      </c>
      <c r="G219" s="22" t="s">
        <v>903</v>
      </c>
      <c r="H219" s="22" t="s">
        <v>262</v>
      </c>
      <c r="I219" s="34">
        <v>45813</v>
      </c>
      <c r="J219" s="34">
        <v>45994</v>
      </c>
      <c r="K219" s="22" t="s">
        <v>244</v>
      </c>
    </row>
    <row r="220" spans="1:11" x14ac:dyDescent="0.25">
      <c r="A220" s="22" t="s">
        <v>904</v>
      </c>
      <c r="B220" s="22" t="s">
        <v>905</v>
      </c>
      <c r="C220" s="22">
        <v>390</v>
      </c>
      <c r="D220" s="22" t="s">
        <v>265</v>
      </c>
      <c r="E220" s="22">
        <v>5</v>
      </c>
      <c r="F220" s="22">
        <v>300</v>
      </c>
      <c r="G220" s="22" t="s">
        <v>906</v>
      </c>
      <c r="H220" s="22" t="s">
        <v>267</v>
      </c>
      <c r="I220" s="34">
        <v>45812</v>
      </c>
      <c r="J220" s="34">
        <v>45993</v>
      </c>
      <c r="K220" s="22" t="s">
        <v>243</v>
      </c>
    </row>
    <row r="221" spans="1:11" x14ac:dyDescent="0.25">
      <c r="A221" s="22" t="s">
        <v>907</v>
      </c>
      <c r="B221" s="22" t="s">
        <v>908</v>
      </c>
      <c r="C221" s="22">
        <v>403</v>
      </c>
      <c r="D221" s="22" t="s">
        <v>270</v>
      </c>
      <c r="E221" s="22">
        <v>1</v>
      </c>
      <c r="F221" s="22">
        <v>310</v>
      </c>
      <c r="G221" s="22" t="s">
        <v>909</v>
      </c>
      <c r="H221" s="22" t="s">
        <v>272</v>
      </c>
      <c r="I221" s="34">
        <v>45811</v>
      </c>
      <c r="J221" s="34">
        <v>45992</v>
      </c>
      <c r="K221" s="22" t="s">
        <v>247</v>
      </c>
    </row>
    <row r="222" spans="1:11" x14ac:dyDescent="0.25">
      <c r="A222" s="22" t="s">
        <v>910</v>
      </c>
      <c r="B222" s="22" t="s">
        <v>911</v>
      </c>
      <c r="C222" s="22">
        <v>416</v>
      </c>
      <c r="D222" s="22" t="s">
        <v>250</v>
      </c>
      <c r="E222" s="22">
        <v>2</v>
      </c>
      <c r="F222" s="22">
        <v>320</v>
      </c>
      <c r="G222" s="22" t="s">
        <v>912</v>
      </c>
      <c r="H222" s="22" t="s">
        <v>252</v>
      </c>
      <c r="I222" s="34">
        <v>45810</v>
      </c>
      <c r="J222" s="34">
        <v>45991</v>
      </c>
      <c r="K222" s="22" t="s">
        <v>246</v>
      </c>
    </row>
    <row r="223" spans="1:11" x14ac:dyDescent="0.25">
      <c r="A223" s="22" t="s">
        <v>913</v>
      </c>
      <c r="B223" s="22" t="s">
        <v>914</v>
      </c>
      <c r="C223" s="22">
        <v>429</v>
      </c>
      <c r="D223" s="22" t="s">
        <v>255</v>
      </c>
      <c r="E223" s="22">
        <v>3</v>
      </c>
      <c r="F223" s="22">
        <v>330</v>
      </c>
      <c r="G223" s="22" t="s">
        <v>915</v>
      </c>
      <c r="H223" s="22" t="s">
        <v>257</v>
      </c>
      <c r="I223" s="34">
        <v>45809</v>
      </c>
      <c r="J223" s="34">
        <v>45990</v>
      </c>
      <c r="K223" s="22" t="s">
        <v>245</v>
      </c>
    </row>
    <row r="224" spans="1:11" x14ac:dyDescent="0.25">
      <c r="A224" s="22" t="s">
        <v>916</v>
      </c>
      <c r="B224" s="22" t="s">
        <v>917</v>
      </c>
      <c r="C224" s="22">
        <v>442</v>
      </c>
      <c r="D224" s="22" t="s">
        <v>260</v>
      </c>
      <c r="E224" s="22">
        <v>4</v>
      </c>
      <c r="F224" s="22">
        <v>340</v>
      </c>
      <c r="G224" s="22" t="s">
        <v>918</v>
      </c>
      <c r="H224" s="22" t="s">
        <v>262</v>
      </c>
      <c r="I224" s="34">
        <v>45808</v>
      </c>
      <c r="J224" s="34">
        <v>45989</v>
      </c>
      <c r="K224" s="22" t="s">
        <v>244</v>
      </c>
    </row>
    <row r="225" spans="1:11" x14ac:dyDescent="0.25">
      <c r="A225" s="22" t="s">
        <v>919</v>
      </c>
      <c r="B225" s="22" t="s">
        <v>920</v>
      </c>
      <c r="C225" s="22">
        <v>455</v>
      </c>
      <c r="D225" s="22" t="s">
        <v>265</v>
      </c>
      <c r="E225" s="22">
        <v>5</v>
      </c>
      <c r="F225" s="22">
        <v>350</v>
      </c>
      <c r="G225" s="22" t="s">
        <v>921</v>
      </c>
      <c r="H225" s="22" t="s">
        <v>267</v>
      </c>
      <c r="I225" s="34">
        <v>45807</v>
      </c>
      <c r="J225" s="34">
        <v>45988</v>
      </c>
      <c r="K225" s="22" t="s">
        <v>243</v>
      </c>
    </row>
    <row r="226" spans="1:11" x14ac:dyDescent="0.25">
      <c r="A226" s="22" t="s">
        <v>922</v>
      </c>
      <c r="B226" s="22" t="s">
        <v>923</v>
      </c>
      <c r="C226" s="22">
        <v>468</v>
      </c>
      <c r="D226" s="22" t="s">
        <v>270</v>
      </c>
      <c r="E226" s="22">
        <v>1</v>
      </c>
      <c r="F226" s="22">
        <v>360</v>
      </c>
      <c r="G226" s="22" t="s">
        <v>924</v>
      </c>
      <c r="H226" s="22" t="s">
        <v>272</v>
      </c>
      <c r="I226" s="34">
        <v>45806</v>
      </c>
      <c r="J226" s="34">
        <v>45987</v>
      </c>
      <c r="K226" s="22" t="s">
        <v>247</v>
      </c>
    </row>
    <row r="227" spans="1:11" x14ac:dyDescent="0.25">
      <c r="A227" s="22" t="s">
        <v>925</v>
      </c>
      <c r="B227" s="22" t="s">
        <v>926</v>
      </c>
      <c r="C227" s="22">
        <v>481</v>
      </c>
      <c r="D227" s="22" t="s">
        <v>250</v>
      </c>
      <c r="E227" s="22">
        <v>2</v>
      </c>
      <c r="F227" s="22">
        <v>370</v>
      </c>
      <c r="G227" s="22" t="s">
        <v>927</v>
      </c>
      <c r="H227" s="22" t="s">
        <v>252</v>
      </c>
      <c r="I227" s="34">
        <v>45805</v>
      </c>
      <c r="J227" s="34">
        <v>45986</v>
      </c>
      <c r="K227" s="22" t="s">
        <v>246</v>
      </c>
    </row>
    <row r="228" spans="1:11" x14ac:dyDescent="0.25">
      <c r="A228" s="22" t="s">
        <v>928</v>
      </c>
      <c r="B228" s="22" t="s">
        <v>929</v>
      </c>
      <c r="C228" s="22">
        <v>494</v>
      </c>
      <c r="D228" s="22" t="s">
        <v>255</v>
      </c>
      <c r="E228" s="22">
        <v>3</v>
      </c>
      <c r="F228" s="22">
        <v>380</v>
      </c>
      <c r="G228" s="22" t="s">
        <v>930</v>
      </c>
      <c r="H228" s="22" t="s">
        <v>257</v>
      </c>
      <c r="I228" s="34">
        <v>45804</v>
      </c>
      <c r="J228" s="34">
        <v>45985</v>
      </c>
      <c r="K228" s="22" t="s">
        <v>245</v>
      </c>
    </row>
    <row r="229" spans="1:11" x14ac:dyDescent="0.25">
      <c r="A229" s="22" t="s">
        <v>931</v>
      </c>
      <c r="B229" s="22" t="s">
        <v>932</v>
      </c>
      <c r="C229" s="22">
        <v>507</v>
      </c>
      <c r="D229" s="22" t="s">
        <v>260</v>
      </c>
      <c r="E229" s="22">
        <v>4</v>
      </c>
      <c r="F229" s="22">
        <v>390</v>
      </c>
      <c r="G229" s="22" t="s">
        <v>933</v>
      </c>
      <c r="H229" s="22" t="s">
        <v>262</v>
      </c>
      <c r="I229" s="34">
        <v>45803</v>
      </c>
      <c r="J229" s="34">
        <v>45984</v>
      </c>
      <c r="K229" s="22" t="s">
        <v>244</v>
      </c>
    </row>
    <row r="230" spans="1:11" x14ac:dyDescent="0.25">
      <c r="A230" s="22" t="s">
        <v>934</v>
      </c>
      <c r="B230" s="22" t="s">
        <v>935</v>
      </c>
      <c r="C230" s="22">
        <v>520</v>
      </c>
      <c r="D230" s="22" t="s">
        <v>265</v>
      </c>
      <c r="E230" s="22">
        <v>5</v>
      </c>
      <c r="F230" s="22">
        <v>400</v>
      </c>
      <c r="G230" s="22" t="s">
        <v>936</v>
      </c>
      <c r="H230" s="22" t="s">
        <v>267</v>
      </c>
      <c r="I230" s="34">
        <v>45802</v>
      </c>
      <c r="J230" s="34">
        <v>45983</v>
      </c>
      <c r="K230" s="22" t="s">
        <v>243</v>
      </c>
    </row>
    <row r="231" spans="1:11" x14ac:dyDescent="0.25">
      <c r="A231" s="22" t="s">
        <v>937</v>
      </c>
      <c r="B231" s="22" t="s">
        <v>938</v>
      </c>
      <c r="C231" s="22">
        <v>533</v>
      </c>
      <c r="D231" s="22" t="s">
        <v>270</v>
      </c>
      <c r="E231" s="22">
        <v>1</v>
      </c>
      <c r="F231" s="22">
        <v>410</v>
      </c>
      <c r="G231" s="22" t="s">
        <v>939</v>
      </c>
      <c r="H231" s="22" t="s">
        <v>272</v>
      </c>
      <c r="I231" s="34">
        <v>45801</v>
      </c>
      <c r="J231" s="34">
        <v>45982</v>
      </c>
      <c r="K231" s="22" t="s">
        <v>247</v>
      </c>
    </row>
    <row r="232" spans="1:11" x14ac:dyDescent="0.25">
      <c r="A232" s="22" t="s">
        <v>940</v>
      </c>
      <c r="B232" s="22" t="s">
        <v>941</v>
      </c>
      <c r="C232" s="22">
        <v>546</v>
      </c>
      <c r="D232" s="22" t="s">
        <v>250</v>
      </c>
      <c r="E232" s="22">
        <v>2</v>
      </c>
      <c r="F232" s="22">
        <v>420</v>
      </c>
      <c r="G232" s="22" t="s">
        <v>942</v>
      </c>
      <c r="H232" s="22" t="s">
        <v>252</v>
      </c>
      <c r="I232" s="34">
        <v>45800</v>
      </c>
      <c r="J232" s="34">
        <v>45981</v>
      </c>
      <c r="K232" s="22" t="s">
        <v>246</v>
      </c>
    </row>
    <row r="233" spans="1:11" x14ac:dyDescent="0.25">
      <c r="A233" s="22" t="s">
        <v>943</v>
      </c>
      <c r="B233" s="22" t="s">
        <v>944</v>
      </c>
      <c r="C233" s="22">
        <v>559</v>
      </c>
      <c r="D233" s="22" t="s">
        <v>255</v>
      </c>
      <c r="E233" s="22">
        <v>3</v>
      </c>
      <c r="F233" s="22">
        <v>430</v>
      </c>
      <c r="G233" s="22" t="s">
        <v>945</v>
      </c>
      <c r="H233" s="22" t="s">
        <v>257</v>
      </c>
      <c r="I233" s="34">
        <v>45799</v>
      </c>
      <c r="J233" s="34">
        <v>45980</v>
      </c>
      <c r="K233" s="22" t="s">
        <v>245</v>
      </c>
    </row>
    <row r="234" spans="1:11" x14ac:dyDescent="0.25">
      <c r="A234" s="22" t="s">
        <v>946</v>
      </c>
      <c r="B234" s="22" t="s">
        <v>947</v>
      </c>
      <c r="C234" s="22">
        <v>572</v>
      </c>
      <c r="D234" s="22" t="s">
        <v>260</v>
      </c>
      <c r="E234" s="22">
        <v>4</v>
      </c>
      <c r="F234" s="22">
        <v>440</v>
      </c>
      <c r="G234" s="22" t="s">
        <v>948</v>
      </c>
      <c r="H234" s="22" t="s">
        <v>262</v>
      </c>
      <c r="I234" s="34">
        <v>45798</v>
      </c>
      <c r="J234" s="34">
        <v>45979</v>
      </c>
      <c r="K234" s="22" t="s">
        <v>244</v>
      </c>
    </row>
    <row r="235" spans="1:11" x14ac:dyDescent="0.25">
      <c r="A235" s="22" t="s">
        <v>949</v>
      </c>
      <c r="B235" s="22" t="s">
        <v>950</v>
      </c>
      <c r="C235" s="22">
        <v>585</v>
      </c>
      <c r="D235" s="22" t="s">
        <v>265</v>
      </c>
      <c r="E235" s="22">
        <v>5</v>
      </c>
      <c r="F235" s="22">
        <v>450</v>
      </c>
      <c r="G235" s="22" t="s">
        <v>951</v>
      </c>
      <c r="H235" s="22" t="s">
        <v>267</v>
      </c>
      <c r="I235" s="34">
        <v>45797</v>
      </c>
      <c r="J235" s="34">
        <v>45978</v>
      </c>
      <c r="K235" s="22" t="s">
        <v>243</v>
      </c>
    </row>
    <row r="236" spans="1:11" x14ac:dyDescent="0.25">
      <c r="A236" s="22" t="s">
        <v>952</v>
      </c>
      <c r="B236" s="22" t="s">
        <v>953</v>
      </c>
      <c r="C236" s="22">
        <v>598</v>
      </c>
      <c r="D236" s="22" t="s">
        <v>270</v>
      </c>
      <c r="E236" s="22">
        <v>1</v>
      </c>
      <c r="F236" s="22">
        <v>460</v>
      </c>
      <c r="G236" s="22" t="s">
        <v>954</v>
      </c>
      <c r="H236" s="22" t="s">
        <v>272</v>
      </c>
      <c r="I236" s="34">
        <v>45796</v>
      </c>
      <c r="J236" s="34">
        <v>45977</v>
      </c>
      <c r="K236" s="22" t="s">
        <v>247</v>
      </c>
    </row>
    <row r="237" spans="1:11" x14ac:dyDescent="0.25">
      <c r="A237" s="22" t="s">
        <v>955</v>
      </c>
      <c r="B237" s="22" t="s">
        <v>956</v>
      </c>
      <c r="C237" s="22">
        <v>611</v>
      </c>
      <c r="D237" s="22" t="s">
        <v>250</v>
      </c>
      <c r="E237" s="22">
        <v>2</v>
      </c>
      <c r="F237" s="22">
        <v>470</v>
      </c>
      <c r="G237" s="22" t="s">
        <v>957</v>
      </c>
      <c r="H237" s="22" t="s">
        <v>252</v>
      </c>
      <c r="I237" s="34">
        <v>45795</v>
      </c>
      <c r="J237" s="34">
        <v>45976</v>
      </c>
      <c r="K237" s="22" t="s">
        <v>246</v>
      </c>
    </row>
    <row r="238" spans="1:11" x14ac:dyDescent="0.25">
      <c r="A238" s="22" t="s">
        <v>958</v>
      </c>
      <c r="B238" s="22" t="s">
        <v>959</v>
      </c>
      <c r="C238" s="22">
        <v>624</v>
      </c>
      <c r="D238" s="22" t="s">
        <v>255</v>
      </c>
      <c r="E238" s="22">
        <v>3</v>
      </c>
      <c r="F238" s="22">
        <v>480</v>
      </c>
      <c r="G238" s="22" t="s">
        <v>960</v>
      </c>
      <c r="H238" s="22" t="s">
        <v>257</v>
      </c>
      <c r="I238" s="34">
        <v>45794</v>
      </c>
      <c r="J238" s="34">
        <v>45975</v>
      </c>
      <c r="K238" s="22" t="s">
        <v>245</v>
      </c>
    </row>
    <row r="239" spans="1:11" x14ac:dyDescent="0.25">
      <c r="A239" s="22" t="s">
        <v>961</v>
      </c>
      <c r="B239" s="22" t="s">
        <v>962</v>
      </c>
      <c r="C239" s="22">
        <v>637</v>
      </c>
      <c r="D239" s="22" t="s">
        <v>260</v>
      </c>
      <c r="E239" s="22">
        <v>4</v>
      </c>
      <c r="F239" s="22">
        <v>490</v>
      </c>
      <c r="G239" s="22" t="s">
        <v>963</v>
      </c>
      <c r="H239" s="22" t="s">
        <v>262</v>
      </c>
      <c r="I239" s="34">
        <v>45793</v>
      </c>
      <c r="J239" s="34">
        <v>45974</v>
      </c>
      <c r="K239" s="22" t="s">
        <v>244</v>
      </c>
    </row>
    <row r="240" spans="1:11" x14ac:dyDescent="0.25">
      <c r="A240" s="22" t="s">
        <v>964</v>
      </c>
      <c r="B240" s="22" t="s">
        <v>236</v>
      </c>
      <c r="C240" s="22">
        <v>650</v>
      </c>
      <c r="D240" s="22" t="s">
        <v>265</v>
      </c>
      <c r="E240" s="22">
        <v>5</v>
      </c>
      <c r="F240" s="22">
        <v>500</v>
      </c>
      <c r="G240" s="22" t="s">
        <v>965</v>
      </c>
      <c r="H240" s="22" t="s">
        <v>267</v>
      </c>
      <c r="I240" s="34">
        <v>45792</v>
      </c>
      <c r="J240" s="34">
        <v>45973</v>
      </c>
      <c r="K240" s="22" t="s">
        <v>243</v>
      </c>
    </row>
    <row r="241" spans="1:11" x14ac:dyDescent="0.25">
      <c r="A241" s="22" t="s">
        <v>966</v>
      </c>
      <c r="B241" s="22" t="s">
        <v>967</v>
      </c>
      <c r="C241" s="22">
        <v>663</v>
      </c>
      <c r="D241" s="22" t="s">
        <v>270</v>
      </c>
      <c r="E241" s="22">
        <v>1</v>
      </c>
      <c r="F241" s="22">
        <v>510</v>
      </c>
      <c r="G241" s="22" t="s">
        <v>968</v>
      </c>
      <c r="H241" s="22" t="s">
        <v>272</v>
      </c>
      <c r="I241" s="34">
        <v>45791</v>
      </c>
      <c r="J241" s="34">
        <v>45972</v>
      </c>
      <c r="K241" s="22" t="s">
        <v>247</v>
      </c>
    </row>
    <row r="242" spans="1:11" x14ac:dyDescent="0.25">
      <c r="A242" s="22" t="s">
        <v>969</v>
      </c>
      <c r="B242" s="22" t="s">
        <v>970</v>
      </c>
      <c r="C242" s="22">
        <v>676</v>
      </c>
      <c r="D242" s="22" t="s">
        <v>250</v>
      </c>
      <c r="E242" s="22">
        <v>2</v>
      </c>
      <c r="F242" s="22">
        <v>520</v>
      </c>
      <c r="G242" s="22" t="s">
        <v>971</v>
      </c>
      <c r="H242" s="22" t="s">
        <v>252</v>
      </c>
      <c r="I242" s="34">
        <v>45790</v>
      </c>
      <c r="J242" s="34">
        <v>45971</v>
      </c>
      <c r="K242" s="22" t="s">
        <v>246</v>
      </c>
    </row>
    <row r="243" spans="1:11" x14ac:dyDescent="0.25">
      <c r="A243" s="22" t="s">
        <v>972</v>
      </c>
      <c r="B243" s="22" t="s">
        <v>973</v>
      </c>
      <c r="C243" s="22">
        <v>689</v>
      </c>
      <c r="D243" s="22" t="s">
        <v>255</v>
      </c>
      <c r="E243" s="22">
        <v>3</v>
      </c>
      <c r="F243" s="22">
        <v>530</v>
      </c>
      <c r="G243" s="22" t="s">
        <v>974</v>
      </c>
      <c r="H243" s="22" t="s">
        <v>257</v>
      </c>
      <c r="I243" s="34">
        <v>45789</v>
      </c>
      <c r="J243" s="34">
        <v>45970</v>
      </c>
      <c r="K243" s="22" t="s">
        <v>245</v>
      </c>
    </row>
    <row r="244" spans="1:11" x14ac:dyDescent="0.25">
      <c r="A244" s="22" t="s">
        <v>975</v>
      </c>
      <c r="B244" s="22" t="s">
        <v>976</v>
      </c>
      <c r="C244" s="22">
        <v>702</v>
      </c>
      <c r="D244" s="22" t="s">
        <v>260</v>
      </c>
      <c r="E244" s="22">
        <v>4</v>
      </c>
      <c r="F244" s="22">
        <v>540</v>
      </c>
      <c r="G244" s="22" t="s">
        <v>977</v>
      </c>
      <c r="H244" s="22" t="s">
        <v>262</v>
      </c>
      <c r="I244" s="34">
        <v>45788</v>
      </c>
      <c r="J244" s="34">
        <v>45969</v>
      </c>
      <c r="K244" s="22" t="s">
        <v>244</v>
      </c>
    </row>
    <row r="245" spans="1:11" x14ac:dyDescent="0.25">
      <c r="A245" s="22" t="s">
        <v>978</v>
      </c>
      <c r="B245" s="22" t="s">
        <v>229</v>
      </c>
      <c r="C245" s="22">
        <v>715</v>
      </c>
      <c r="D245" s="22" t="s">
        <v>265</v>
      </c>
      <c r="E245" s="22">
        <v>5</v>
      </c>
      <c r="F245" s="22">
        <v>550</v>
      </c>
      <c r="G245" s="22" t="s">
        <v>979</v>
      </c>
      <c r="H245" s="22" t="s">
        <v>267</v>
      </c>
      <c r="I245" s="34">
        <v>45787</v>
      </c>
      <c r="J245" s="34">
        <v>45968</v>
      </c>
      <c r="K245" s="22" t="s">
        <v>243</v>
      </c>
    </row>
    <row r="246" spans="1:11" x14ac:dyDescent="0.25">
      <c r="A246" s="22" t="s">
        <v>980</v>
      </c>
      <c r="B246" s="22" t="s">
        <v>981</v>
      </c>
      <c r="C246" s="22">
        <v>728</v>
      </c>
      <c r="D246" s="22" t="s">
        <v>270</v>
      </c>
      <c r="E246" s="22">
        <v>1</v>
      </c>
      <c r="F246" s="22">
        <v>560</v>
      </c>
      <c r="G246" s="22" t="s">
        <v>982</v>
      </c>
      <c r="H246" s="22" t="s">
        <v>272</v>
      </c>
      <c r="I246" s="34">
        <v>45786</v>
      </c>
      <c r="J246" s="34">
        <v>45967</v>
      </c>
      <c r="K246" s="22" t="s">
        <v>247</v>
      </c>
    </row>
    <row r="247" spans="1:11" x14ac:dyDescent="0.25">
      <c r="A247" s="22" t="s">
        <v>983</v>
      </c>
      <c r="B247" s="22" t="s">
        <v>984</v>
      </c>
      <c r="C247" s="22">
        <v>741</v>
      </c>
      <c r="D247" s="22" t="s">
        <v>250</v>
      </c>
      <c r="E247" s="22">
        <v>2</v>
      </c>
      <c r="F247" s="22">
        <v>570</v>
      </c>
      <c r="G247" s="22" t="s">
        <v>985</v>
      </c>
      <c r="H247" s="22" t="s">
        <v>252</v>
      </c>
      <c r="I247" s="34">
        <v>45785</v>
      </c>
      <c r="J247" s="34">
        <v>45966</v>
      </c>
      <c r="K247" s="22" t="s">
        <v>246</v>
      </c>
    </row>
    <row r="248" spans="1:11" x14ac:dyDescent="0.25">
      <c r="A248" s="22" t="s">
        <v>986</v>
      </c>
      <c r="B248" s="22" t="s">
        <v>987</v>
      </c>
      <c r="C248" s="22">
        <v>754</v>
      </c>
      <c r="D248" s="22" t="s">
        <v>255</v>
      </c>
      <c r="E248" s="22">
        <v>3</v>
      </c>
      <c r="F248" s="22">
        <v>580</v>
      </c>
      <c r="G248" s="22" t="s">
        <v>988</v>
      </c>
      <c r="H248" s="22" t="s">
        <v>257</v>
      </c>
      <c r="I248" s="34">
        <v>45784</v>
      </c>
      <c r="J248" s="34">
        <v>45965</v>
      </c>
      <c r="K248" s="22" t="s">
        <v>245</v>
      </c>
    </row>
    <row r="249" spans="1:11" x14ac:dyDescent="0.25">
      <c r="A249" s="22" t="s">
        <v>989</v>
      </c>
      <c r="B249" s="22" t="s">
        <v>990</v>
      </c>
      <c r="C249" s="22">
        <v>767</v>
      </c>
      <c r="D249" s="22" t="s">
        <v>260</v>
      </c>
      <c r="E249" s="22">
        <v>4</v>
      </c>
      <c r="F249" s="22">
        <v>590</v>
      </c>
      <c r="G249" s="22" t="s">
        <v>991</v>
      </c>
      <c r="H249" s="22" t="s">
        <v>262</v>
      </c>
      <c r="I249" s="34">
        <v>45783</v>
      </c>
      <c r="J249" s="34">
        <v>45964</v>
      </c>
      <c r="K249" s="22" t="s">
        <v>244</v>
      </c>
    </row>
    <row r="250" spans="1:11" x14ac:dyDescent="0.25">
      <c r="A250" s="22" t="s">
        <v>992</v>
      </c>
      <c r="B250" s="22" t="s">
        <v>993</v>
      </c>
      <c r="C250" s="22">
        <v>130</v>
      </c>
      <c r="D250" s="22" t="s">
        <v>265</v>
      </c>
      <c r="E250" s="22">
        <v>5</v>
      </c>
      <c r="F250" s="22">
        <v>100</v>
      </c>
      <c r="G250" s="22" t="s">
        <v>994</v>
      </c>
      <c r="H250" s="22" t="s">
        <v>267</v>
      </c>
      <c r="I250" s="34">
        <v>45782</v>
      </c>
      <c r="J250" s="34">
        <v>45963</v>
      </c>
      <c r="K250" s="22" t="s">
        <v>243</v>
      </c>
    </row>
    <row r="251" spans="1:11" x14ac:dyDescent="0.25">
      <c r="A251" s="22" t="s">
        <v>995</v>
      </c>
      <c r="B251" s="22" t="s">
        <v>996</v>
      </c>
      <c r="C251" s="22">
        <v>143</v>
      </c>
      <c r="D251" s="22" t="s">
        <v>270</v>
      </c>
      <c r="E251" s="22">
        <v>1</v>
      </c>
      <c r="F251" s="22">
        <v>110</v>
      </c>
      <c r="G251" s="22" t="s">
        <v>997</v>
      </c>
      <c r="H251" s="22" t="s">
        <v>272</v>
      </c>
      <c r="I251" s="34">
        <v>45781</v>
      </c>
      <c r="J251" s="34">
        <v>45962</v>
      </c>
      <c r="K251" s="22" t="s">
        <v>247</v>
      </c>
    </row>
    <row r="252" spans="1:11" x14ac:dyDescent="0.25">
      <c r="A252" s="22" t="s">
        <v>998</v>
      </c>
      <c r="B252" s="22" t="s">
        <v>999</v>
      </c>
      <c r="C252" s="22">
        <v>156</v>
      </c>
      <c r="D252" s="22" t="s">
        <v>250</v>
      </c>
      <c r="E252" s="22">
        <v>2</v>
      </c>
      <c r="F252" s="22">
        <v>120</v>
      </c>
      <c r="G252" s="22" t="s">
        <v>1000</v>
      </c>
      <c r="H252" s="22" t="s">
        <v>252</v>
      </c>
      <c r="I252" s="34">
        <v>45780</v>
      </c>
      <c r="J252" s="34">
        <v>45961</v>
      </c>
      <c r="K252" s="22" t="s">
        <v>246</v>
      </c>
    </row>
    <row r="253" spans="1:11" x14ac:dyDescent="0.25">
      <c r="A253" s="22" t="s">
        <v>1001</v>
      </c>
      <c r="B253" s="22" t="s">
        <v>1002</v>
      </c>
      <c r="C253" s="22">
        <v>169</v>
      </c>
      <c r="D253" s="22" t="s">
        <v>255</v>
      </c>
      <c r="E253" s="22">
        <v>3</v>
      </c>
      <c r="F253" s="22">
        <v>130</v>
      </c>
      <c r="G253" s="22" t="s">
        <v>1003</v>
      </c>
      <c r="H253" s="22" t="s">
        <v>257</v>
      </c>
      <c r="I253" s="34">
        <v>45779</v>
      </c>
      <c r="J253" s="34">
        <v>45960</v>
      </c>
      <c r="K253" s="22" t="s">
        <v>245</v>
      </c>
    </row>
    <row r="254" spans="1:11" x14ac:dyDescent="0.25">
      <c r="A254" s="22" t="s">
        <v>1004</v>
      </c>
      <c r="B254" s="22" t="s">
        <v>1005</v>
      </c>
      <c r="C254" s="22">
        <v>182</v>
      </c>
      <c r="D254" s="22" t="s">
        <v>260</v>
      </c>
      <c r="E254" s="22">
        <v>4</v>
      </c>
      <c r="F254" s="22">
        <v>140</v>
      </c>
      <c r="G254" s="22" t="s">
        <v>1006</v>
      </c>
      <c r="H254" s="22" t="s">
        <v>262</v>
      </c>
      <c r="I254" s="34">
        <v>45778</v>
      </c>
      <c r="J254" s="34">
        <v>45959</v>
      </c>
      <c r="K254" s="22" t="s">
        <v>244</v>
      </c>
    </row>
    <row r="255" spans="1:11" x14ac:dyDescent="0.25">
      <c r="A255" s="22" t="s">
        <v>1007</v>
      </c>
      <c r="B255" s="22" t="s">
        <v>1008</v>
      </c>
      <c r="C255" s="22">
        <v>195</v>
      </c>
      <c r="D255" s="22" t="s">
        <v>265</v>
      </c>
      <c r="E255" s="22">
        <v>5</v>
      </c>
      <c r="F255" s="22">
        <v>150</v>
      </c>
      <c r="G255" s="22" t="s">
        <v>1009</v>
      </c>
      <c r="H255" s="22" t="s">
        <v>267</v>
      </c>
      <c r="I255" s="34">
        <v>45777</v>
      </c>
      <c r="J255" s="34">
        <v>45958</v>
      </c>
      <c r="K255" s="22" t="s">
        <v>243</v>
      </c>
    </row>
    <row r="256" spans="1:11" x14ac:dyDescent="0.25">
      <c r="A256" s="22" t="s">
        <v>1010</v>
      </c>
      <c r="B256" s="22" t="s">
        <v>1011</v>
      </c>
      <c r="C256" s="22">
        <v>208</v>
      </c>
      <c r="D256" s="22" t="s">
        <v>270</v>
      </c>
      <c r="E256" s="22">
        <v>1</v>
      </c>
      <c r="F256" s="22">
        <v>160</v>
      </c>
      <c r="G256" s="22" t="s">
        <v>1012</v>
      </c>
      <c r="H256" s="22" t="s">
        <v>272</v>
      </c>
      <c r="I256" s="34">
        <v>45776</v>
      </c>
      <c r="J256" s="34">
        <v>45957</v>
      </c>
      <c r="K256" s="22" t="s">
        <v>247</v>
      </c>
    </row>
    <row r="257" spans="1:11" x14ac:dyDescent="0.25">
      <c r="A257" s="22" t="s">
        <v>1013</v>
      </c>
      <c r="B257" s="22" t="s">
        <v>1014</v>
      </c>
      <c r="C257" s="22">
        <v>221</v>
      </c>
      <c r="D257" s="22" t="s">
        <v>250</v>
      </c>
      <c r="E257" s="22">
        <v>2</v>
      </c>
      <c r="F257" s="22">
        <v>170</v>
      </c>
      <c r="G257" s="22" t="s">
        <v>1015</v>
      </c>
      <c r="H257" s="22" t="s">
        <v>252</v>
      </c>
      <c r="I257" s="34">
        <v>45775</v>
      </c>
      <c r="J257" s="34">
        <v>45956</v>
      </c>
      <c r="K257" s="22" t="s">
        <v>246</v>
      </c>
    </row>
    <row r="258" spans="1:11" x14ac:dyDescent="0.25">
      <c r="A258" s="22" t="s">
        <v>1016</v>
      </c>
      <c r="B258" s="22" t="s">
        <v>1017</v>
      </c>
      <c r="C258" s="22">
        <v>234</v>
      </c>
      <c r="D258" s="22" t="s">
        <v>255</v>
      </c>
      <c r="E258" s="22">
        <v>3</v>
      </c>
      <c r="F258" s="22">
        <v>180</v>
      </c>
      <c r="G258" s="22" t="s">
        <v>1018</v>
      </c>
      <c r="H258" s="22" t="s">
        <v>257</v>
      </c>
      <c r="I258" s="34">
        <v>45774</v>
      </c>
      <c r="J258" s="34">
        <v>45955</v>
      </c>
      <c r="K258" s="22" t="s">
        <v>245</v>
      </c>
    </row>
    <row r="259" spans="1:11" x14ac:dyDescent="0.25">
      <c r="A259" s="22" t="s">
        <v>1019</v>
      </c>
      <c r="B259" s="22" t="s">
        <v>1020</v>
      </c>
      <c r="C259" s="22">
        <v>247</v>
      </c>
      <c r="D259" s="22" t="s">
        <v>260</v>
      </c>
      <c r="E259" s="22">
        <v>4</v>
      </c>
      <c r="F259" s="22">
        <v>190</v>
      </c>
      <c r="G259" s="22" t="s">
        <v>1021</v>
      </c>
      <c r="H259" s="22" t="s">
        <v>262</v>
      </c>
      <c r="I259" s="34">
        <v>45773</v>
      </c>
      <c r="J259" s="34">
        <v>45954</v>
      </c>
      <c r="K259" s="22" t="s">
        <v>244</v>
      </c>
    </row>
    <row r="260" spans="1:11" x14ac:dyDescent="0.25">
      <c r="A260" s="22" t="s">
        <v>1022</v>
      </c>
      <c r="B260" s="22" t="s">
        <v>1023</v>
      </c>
      <c r="C260" s="22">
        <v>260</v>
      </c>
      <c r="D260" s="22" t="s">
        <v>265</v>
      </c>
      <c r="E260" s="22">
        <v>5</v>
      </c>
      <c r="F260" s="22">
        <v>200</v>
      </c>
      <c r="G260" s="22" t="s">
        <v>1024</v>
      </c>
      <c r="H260" s="22" t="s">
        <v>267</v>
      </c>
      <c r="I260" s="34">
        <v>45772</v>
      </c>
      <c r="J260" s="34">
        <v>45953</v>
      </c>
      <c r="K260" s="22" t="s">
        <v>243</v>
      </c>
    </row>
    <row r="261" spans="1:11" x14ac:dyDescent="0.25">
      <c r="A261" s="22" t="s">
        <v>1025</v>
      </c>
      <c r="B261" s="22" t="s">
        <v>1026</v>
      </c>
      <c r="C261" s="22">
        <v>273</v>
      </c>
      <c r="D261" s="22" t="s">
        <v>270</v>
      </c>
      <c r="E261" s="22">
        <v>1</v>
      </c>
      <c r="F261" s="22">
        <v>210</v>
      </c>
      <c r="G261" s="22" t="s">
        <v>1027</v>
      </c>
      <c r="H261" s="22" t="s">
        <v>272</v>
      </c>
      <c r="I261" s="34">
        <v>45771</v>
      </c>
      <c r="J261" s="34">
        <v>45952</v>
      </c>
      <c r="K261" s="22" t="s">
        <v>247</v>
      </c>
    </row>
    <row r="262" spans="1:11" x14ac:dyDescent="0.25">
      <c r="A262" s="22" t="s">
        <v>1028</v>
      </c>
      <c r="B262" s="22" t="s">
        <v>1029</v>
      </c>
      <c r="C262" s="22">
        <v>286</v>
      </c>
      <c r="D262" s="22" t="s">
        <v>250</v>
      </c>
      <c r="E262" s="22">
        <v>2</v>
      </c>
      <c r="F262" s="22">
        <v>220</v>
      </c>
      <c r="G262" s="22" t="s">
        <v>1030</v>
      </c>
      <c r="H262" s="22" t="s">
        <v>252</v>
      </c>
      <c r="I262" s="34">
        <v>45770</v>
      </c>
      <c r="J262" s="34">
        <v>45951</v>
      </c>
      <c r="K262" s="22" t="s">
        <v>246</v>
      </c>
    </row>
    <row r="263" spans="1:11" x14ac:dyDescent="0.25">
      <c r="A263" s="22" t="s">
        <v>1031</v>
      </c>
      <c r="B263" s="22" t="s">
        <v>1032</v>
      </c>
      <c r="C263" s="22">
        <v>299</v>
      </c>
      <c r="D263" s="22" t="s">
        <v>255</v>
      </c>
      <c r="E263" s="22">
        <v>3</v>
      </c>
      <c r="F263" s="22">
        <v>230</v>
      </c>
      <c r="G263" s="22" t="s">
        <v>1033</v>
      </c>
      <c r="H263" s="22" t="s">
        <v>257</v>
      </c>
      <c r="I263" s="34">
        <v>45769</v>
      </c>
      <c r="J263" s="34">
        <v>45950</v>
      </c>
      <c r="K263" s="22" t="s">
        <v>245</v>
      </c>
    </row>
    <row r="264" spans="1:11" x14ac:dyDescent="0.25">
      <c r="A264" s="22" t="s">
        <v>1034</v>
      </c>
      <c r="B264" s="22" t="s">
        <v>1035</v>
      </c>
      <c r="C264" s="22">
        <v>312</v>
      </c>
      <c r="D264" s="22" t="s">
        <v>260</v>
      </c>
      <c r="E264" s="22">
        <v>4</v>
      </c>
      <c r="F264" s="22">
        <v>240</v>
      </c>
      <c r="G264" s="22" t="s">
        <v>1036</v>
      </c>
      <c r="H264" s="22" t="s">
        <v>262</v>
      </c>
      <c r="I264" s="34">
        <v>45768</v>
      </c>
      <c r="J264" s="34">
        <v>45949</v>
      </c>
      <c r="K264" s="22" t="s">
        <v>244</v>
      </c>
    </row>
    <row r="265" spans="1:11" x14ac:dyDescent="0.25">
      <c r="A265" s="22" t="s">
        <v>1037</v>
      </c>
      <c r="B265" s="22" t="s">
        <v>1038</v>
      </c>
      <c r="C265" s="22">
        <v>325</v>
      </c>
      <c r="D265" s="22" t="s">
        <v>265</v>
      </c>
      <c r="E265" s="22">
        <v>5</v>
      </c>
      <c r="F265" s="22">
        <v>250</v>
      </c>
      <c r="G265" s="22" t="s">
        <v>1039</v>
      </c>
      <c r="H265" s="22" t="s">
        <v>267</v>
      </c>
      <c r="I265" s="34">
        <v>45767</v>
      </c>
      <c r="J265" s="34">
        <v>45948</v>
      </c>
      <c r="K265" s="22" t="s">
        <v>243</v>
      </c>
    </row>
    <row r="266" spans="1:11" x14ac:dyDescent="0.25">
      <c r="A266" s="22" t="s">
        <v>1040</v>
      </c>
      <c r="B266" s="22" t="s">
        <v>1041</v>
      </c>
      <c r="C266" s="22">
        <v>338</v>
      </c>
      <c r="D266" s="22" t="s">
        <v>270</v>
      </c>
      <c r="E266" s="22">
        <v>1</v>
      </c>
      <c r="F266" s="22">
        <v>260</v>
      </c>
      <c r="G266" s="22" t="s">
        <v>1042</v>
      </c>
      <c r="H266" s="22" t="s">
        <v>272</v>
      </c>
      <c r="I266" s="34">
        <v>45766</v>
      </c>
      <c r="J266" s="34">
        <v>45947</v>
      </c>
      <c r="K266" s="22" t="s">
        <v>247</v>
      </c>
    </row>
    <row r="267" spans="1:11" x14ac:dyDescent="0.25">
      <c r="A267" s="22" t="s">
        <v>1043</v>
      </c>
      <c r="B267" s="22" t="s">
        <v>1044</v>
      </c>
      <c r="C267" s="22">
        <v>351</v>
      </c>
      <c r="D267" s="22" t="s">
        <v>250</v>
      </c>
      <c r="E267" s="22">
        <v>2</v>
      </c>
      <c r="F267" s="22">
        <v>270</v>
      </c>
      <c r="G267" s="22" t="s">
        <v>1045</v>
      </c>
      <c r="H267" s="22" t="s">
        <v>252</v>
      </c>
      <c r="I267" s="34">
        <v>45765</v>
      </c>
      <c r="J267" s="34">
        <v>45946</v>
      </c>
      <c r="K267" s="22" t="s">
        <v>246</v>
      </c>
    </row>
    <row r="268" spans="1:11" x14ac:dyDescent="0.25">
      <c r="A268" s="22" t="s">
        <v>1046</v>
      </c>
      <c r="B268" s="22" t="s">
        <v>1047</v>
      </c>
      <c r="C268" s="22">
        <v>364</v>
      </c>
      <c r="D268" s="22" t="s">
        <v>255</v>
      </c>
      <c r="E268" s="22">
        <v>3</v>
      </c>
      <c r="F268" s="22">
        <v>280</v>
      </c>
      <c r="G268" s="22" t="s">
        <v>1048</v>
      </c>
      <c r="H268" s="22" t="s">
        <v>257</v>
      </c>
      <c r="I268" s="34">
        <v>45764</v>
      </c>
      <c r="J268" s="34">
        <v>45945</v>
      </c>
      <c r="K268" s="22" t="s">
        <v>245</v>
      </c>
    </row>
    <row r="269" spans="1:11" x14ac:dyDescent="0.25">
      <c r="A269" s="22" t="s">
        <v>1049</v>
      </c>
      <c r="B269" s="22" t="s">
        <v>1050</v>
      </c>
      <c r="C269" s="22">
        <v>377</v>
      </c>
      <c r="D269" s="22" t="s">
        <v>260</v>
      </c>
      <c r="E269" s="22">
        <v>4</v>
      </c>
      <c r="F269" s="22">
        <v>290</v>
      </c>
      <c r="G269" s="22" t="s">
        <v>1051</v>
      </c>
      <c r="H269" s="22" t="s">
        <v>262</v>
      </c>
      <c r="I269" s="34">
        <v>45763</v>
      </c>
      <c r="J269" s="34">
        <v>45944</v>
      </c>
      <c r="K269" s="22" t="s">
        <v>244</v>
      </c>
    </row>
    <row r="270" spans="1:11" x14ac:dyDescent="0.25">
      <c r="A270" s="22" t="s">
        <v>1052</v>
      </c>
      <c r="B270" s="22" t="s">
        <v>1053</v>
      </c>
      <c r="C270" s="22">
        <v>390</v>
      </c>
      <c r="D270" s="22" t="s">
        <v>265</v>
      </c>
      <c r="E270" s="22">
        <v>5</v>
      </c>
      <c r="F270" s="22">
        <v>300</v>
      </c>
      <c r="G270" s="22" t="s">
        <v>1054</v>
      </c>
      <c r="H270" s="22" t="s">
        <v>267</v>
      </c>
      <c r="I270" s="34">
        <v>45762</v>
      </c>
      <c r="J270" s="34">
        <v>45943</v>
      </c>
      <c r="K270" s="22" t="s">
        <v>243</v>
      </c>
    </row>
    <row r="271" spans="1:11" x14ac:dyDescent="0.25">
      <c r="A271" s="22" t="s">
        <v>1055</v>
      </c>
      <c r="B271" s="22" t="s">
        <v>1056</v>
      </c>
      <c r="C271" s="22">
        <v>403</v>
      </c>
      <c r="D271" s="22" t="s">
        <v>270</v>
      </c>
      <c r="E271" s="22">
        <v>1</v>
      </c>
      <c r="F271" s="22">
        <v>310</v>
      </c>
      <c r="G271" s="22" t="s">
        <v>1057</v>
      </c>
      <c r="H271" s="22" t="s">
        <v>272</v>
      </c>
      <c r="I271" s="34">
        <v>45761</v>
      </c>
      <c r="J271" s="34">
        <v>45942</v>
      </c>
      <c r="K271" s="22" t="s">
        <v>247</v>
      </c>
    </row>
    <row r="272" spans="1:11" x14ac:dyDescent="0.25">
      <c r="A272" s="22" t="s">
        <v>1058</v>
      </c>
      <c r="B272" s="22" t="s">
        <v>1059</v>
      </c>
      <c r="C272" s="22">
        <v>416</v>
      </c>
      <c r="D272" s="22" t="s">
        <v>250</v>
      </c>
      <c r="E272" s="22">
        <v>2</v>
      </c>
      <c r="F272" s="22">
        <v>320</v>
      </c>
      <c r="G272" s="22" t="s">
        <v>1060</v>
      </c>
      <c r="H272" s="22" t="s">
        <v>252</v>
      </c>
      <c r="I272" s="34">
        <v>45760</v>
      </c>
      <c r="J272" s="34">
        <v>45941</v>
      </c>
      <c r="K272" s="22" t="s">
        <v>246</v>
      </c>
    </row>
    <row r="273" spans="1:11" x14ac:dyDescent="0.25">
      <c r="A273" s="22" t="s">
        <v>1061</v>
      </c>
      <c r="B273" s="22" t="s">
        <v>1062</v>
      </c>
      <c r="C273" s="22">
        <v>429</v>
      </c>
      <c r="D273" s="22" t="s">
        <v>255</v>
      </c>
      <c r="E273" s="22">
        <v>3</v>
      </c>
      <c r="F273" s="22">
        <v>330</v>
      </c>
      <c r="G273" s="22" t="s">
        <v>1063</v>
      </c>
      <c r="H273" s="22" t="s">
        <v>257</v>
      </c>
      <c r="I273" s="34">
        <v>45759</v>
      </c>
      <c r="J273" s="34">
        <v>45940</v>
      </c>
      <c r="K273" s="22" t="s">
        <v>245</v>
      </c>
    </row>
    <row r="274" spans="1:11" x14ac:dyDescent="0.25">
      <c r="A274" s="22" t="s">
        <v>1064</v>
      </c>
      <c r="B274" s="22" t="s">
        <v>1065</v>
      </c>
      <c r="C274" s="22">
        <v>442</v>
      </c>
      <c r="D274" s="22" t="s">
        <v>260</v>
      </c>
      <c r="E274" s="22">
        <v>4</v>
      </c>
      <c r="F274" s="22">
        <v>340</v>
      </c>
      <c r="G274" s="22" t="s">
        <v>1066</v>
      </c>
      <c r="H274" s="22" t="s">
        <v>262</v>
      </c>
      <c r="I274" s="34">
        <v>45758</v>
      </c>
      <c r="J274" s="34">
        <v>45939</v>
      </c>
      <c r="K274" s="22" t="s">
        <v>244</v>
      </c>
    </row>
    <row r="275" spans="1:11" x14ac:dyDescent="0.25">
      <c r="A275" s="22" t="s">
        <v>1067</v>
      </c>
      <c r="B275" s="22" t="s">
        <v>1068</v>
      </c>
      <c r="C275" s="22">
        <v>455</v>
      </c>
      <c r="D275" s="22" t="s">
        <v>265</v>
      </c>
      <c r="E275" s="22">
        <v>5</v>
      </c>
      <c r="F275" s="22">
        <v>350</v>
      </c>
      <c r="G275" s="22" t="s">
        <v>1069</v>
      </c>
      <c r="H275" s="22" t="s">
        <v>267</v>
      </c>
      <c r="I275" s="34">
        <v>45757</v>
      </c>
      <c r="J275" s="34">
        <v>45938</v>
      </c>
      <c r="K275" s="22" t="s">
        <v>243</v>
      </c>
    </row>
    <row r="276" spans="1:11" x14ac:dyDescent="0.25">
      <c r="A276" s="22" t="s">
        <v>1070</v>
      </c>
      <c r="B276" s="22" t="s">
        <v>1071</v>
      </c>
      <c r="C276" s="22">
        <v>468</v>
      </c>
      <c r="D276" s="22" t="s">
        <v>270</v>
      </c>
      <c r="E276" s="22">
        <v>1</v>
      </c>
      <c r="F276" s="22">
        <v>360</v>
      </c>
      <c r="G276" s="22" t="s">
        <v>1072</v>
      </c>
      <c r="H276" s="22" t="s">
        <v>272</v>
      </c>
      <c r="I276" s="34">
        <v>45756</v>
      </c>
      <c r="J276" s="34">
        <v>45937</v>
      </c>
      <c r="K276" s="22" t="s">
        <v>247</v>
      </c>
    </row>
    <row r="277" spans="1:11" x14ac:dyDescent="0.25">
      <c r="A277" s="22" t="s">
        <v>1073</v>
      </c>
      <c r="B277" s="22" t="s">
        <v>1074</v>
      </c>
      <c r="C277" s="22">
        <v>481</v>
      </c>
      <c r="D277" s="22" t="s">
        <v>250</v>
      </c>
      <c r="E277" s="22">
        <v>2</v>
      </c>
      <c r="F277" s="22">
        <v>370</v>
      </c>
      <c r="G277" s="22" t="s">
        <v>1075</v>
      </c>
      <c r="H277" s="22" t="s">
        <v>252</v>
      </c>
      <c r="I277" s="34">
        <v>45755</v>
      </c>
      <c r="J277" s="34">
        <v>45936</v>
      </c>
      <c r="K277" s="22" t="s">
        <v>246</v>
      </c>
    </row>
    <row r="278" spans="1:11" x14ac:dyDescent="0.25">
      <c r="A278" s="22" t="s">
        <v>1076</v>
      </c>
      <c r="B278" s="22" t="s">
        <v>1077</v>
      </c>
      <c r="C278" s="22">
        <v>494</v>
      </c>
      <c r="D278" s="22" t="s">
        <v>255</v>
      </c>
      <c r="E278" s="22">
        <v>3</v>
      </c>
      <c r="F278" s="22">
        <v>380</v>
      </c>
      <c r="G278" s="22" t="s">
        <v>1078</v>
      </c>
      <c r="H278" s="22" t="s">
        <v>257</v>
      </c>
      <c r="I278" s="34">
        <v>45754</v>
      </c>
      <c r="J278" s="34">
        <v>45935</v>
      </c>
      <c r="K278" s="22" t="s">
        <v>245</v>
      </c>
    </row>
    <row r="279" spans="1:11" x14ac:dyDescent="0.25">
      <c r="A279" s="22" t="s">
        <v>1079</v>
      </c>
      <c r="B279" s="22" t="s">
        <v>1080</v>
      </c>
      <c r="C279" s="22">
        <v>507</v>
      </c>
      <c r="D279" s="22" t="s">
        <v>260</v>
      </c>
      <c r="E279" s="22">
        <v>4</v>
      </c>
      <c r="F279" s="22">
        <v>390</v>
      </c>
      <c r="G279" s="22" t="s">
        <v>1081</v>
      </c>
      <c r="H279" s="22" t="s">
        <v>262</v>
      </c>
      <c r="I279" s="34">
        <v>45753</v>
      </c>
      <c r="J279" s="34">
        <v>45934</v>
      </c>
      <c r="K279" s="22" t="s">
        <v>244</v>
      </c>
    </row>
    <row r="280" spans="1:11" x14ac:dyDescent="0.25">
      <c r="A280" s="22" t="s">
        <v>1082</v>
      </c>
      <c r="B280" s="22" t="s">
        <v>1083</v>
      </c>
      <c r="C280" s="22">
        <v>520</v>
      </c>
      <c r="D280" s="22" t="s">
        <v>265</v>
      </c>
      <c r="E280" s="22">
        <v>5</v>
      </c>
      <c r="F280" s="22">
        <v>400</v>
      </c>
      <c r="G280" s="22" t="s">
        <v>1084</v>
      </c>
      <c r="H280" s="22" t="s">
        <v>267</v>
      </c>
      <c r="I280" s="34">
        <v>45752</v>
      </c>
      <c r="J280" s="34">
        <v>45933</v>
      </c>
      <c r="K280" s="22" t="s">
        <v>243</v>
      </c>
    </row>
    <row r="281" spans="1:11" x14ac:dyDescent="0.25">
      <c r="A281" s="22" t="s">
        <v>1085</v>
      </c>
      <c r="B281" s="22" t="s">
        <v>1086</v>
      </c>
      <c r="C281" s="22">
        <v>533</v>
      </c>
      <c r="D281" s="22" t="s">
        <v>270</v>
      </c>
      <c r="E281" s="22">
        <v>1</v>
      </c>
      <c r="F281" s="22">
        <v>410</v>
      </c>
      <c r="G281" s="22" t="s">
        <v>1087</v>
      </c>
      <c r="H281" s="22" t="s">
        <v>272</v>
      </c>
      <c r="I281" s="34">
        <v>45751</v>
      </c>
      <c r="J281" s="34">
        <v>45932</v>
      </c>
      <c r="K281" s="22" t="s">
        <v>247</v>
      </c>
    </row>
    <row r="282" spans="1:11" x14ac:dyDescent="0.25">
      <c r="A282" s="22" t="s">
        <v>1088</v>
      </c>
      <c r="B282" s="22" t="s">
        <v>1089</v>
      </c>
      <c r="C282" s="22">
        <v>546</v>
      </c>
      <c r="D282" s="22" t="s">
        <v>250</v>
      </c>
      <c r="E282" s="22">
        <v>2</v>
      </c>
      <c r="F282" s="22">
        <v>420</v>
      </c>
      <c r="G282" s="22" t="s">
        <v>1090</v>
      </c>
      <c r="H282" s="22" t="s">
        <v>252</v>
      </c>
      <c r="I282" s="34">
        <v>45750</v>
      </c>
      <c r="J282" s="34">
        <v>45931</v>
      </c>
      <c r="K282" s="22" t="s">
        <v>246</v>
      </c>
    </row>
    <row r="283" spans="1:11" x14ac:dyDescent="0.25">
      <c r="A283" s="22" t="s">
        <v>1091</v>
      </c>
      <c r="B283" s="22" t="s">
        <v>1092</v>
      </c>
      <c r="C283" s="22">
        <v>559</v>
      </c>
      <c r="D283" s="22" t="s">
        <v>255</v>
      </c>
      <c r="E283" s="22">
        <v>3</v>
      </c>
      <c r="F283" s="22">
        <v>430</v>
      </c>
      <c r="G283" s="22" t="s">
        <v>1093</v>
      </c>
      <c r="H283" s="22" t="s">
        <v>257</v>
      </c>
      <c r="I283" s="34">
        <v>45749</v>
      </c>
      <c r="J283" s="34">
        <v>45930</v>
      </c>
      <c r="K283" s="22" t="s">
        <v>245</v>
      </c>
    </row>
    <row r="284" spans="1:11" x14ac:dyDescent="0.25">
      <c r="A284" s="22" t="s">
        <v>1094</v>
      </c>
      <c r="B284" s="22" t="s">
        <v>1095</v>
      </c>
      <c r="C284" s="22">
        <v>572</v>
      </c>
      <c r="D284" s="22" t="s">
        <v>260</v>
      </c>
      <c r="E284" s="22">
        <v>4</v>
      </c>
      <c r="F284" s="22">
        <v>440</v>
      </c>
      <c r="G284" s="22" t="s">
        <v>1096</v>
      </c>
      <c r="H284" s="22" t="s">
        <v>262</v>
      </c>
      <c r="I284" s="34">
        <v>45748</v>
      </c>
      <c r="J284" s="34">
        <v>45929</v>
      </c>
      <c r="K284" s="22" t="s">
        <v>244</v>
      </c>
    </row>
    <row r="285" spans="1:11" x14ac:dyDescent="0.25">
      <c r="A285" s="22" t="s">
        <v>1097</v>
      </c>
      <c r="B285" s="22" t="s">
        <v>1098</v>
      </c>
      <c r="C285" s="22">
        <v>585</v>
      </c>
      <c r="D285" s="22" t="s">
        <v>265</v>
      </c>
      <c r="E285" s="22">
        <v>5</v>
      </c>
      <c r="F285" s="22">
        <v>450</v>
      </c>
      <c r="G285" s="22" t="s">
        <v>1099</v>
      </c>
      <c r="H285" s="22" t="s">
        <v>267</v>
      </c>
      <c r="I285" s="34">
        <v>45747</v>
      </c>
      <c r="J285" s="34">
        <v>45928</v>
      </c>
      <c r="K285" s="22" t="s">
        <v>243</v>
      </c>
    </row>
    <row r="286" spans="1:11" x14ac:dyDescent="0.25">
      <c r="A286" s="22" t="s">
        <v>1100</v>
      </c>
      <c r="B286" s="22" t="s">
        <v>1101</v>
      </c>
      <c r="C286" s="22">
        <v>598</v>
      </c>
      <c r="D286" s="22" t="s">
        <v>270</v>
      </c>
      <c r="E286" s="22">
        <v>1</v>
      </c>
      <c r="F286" s="22">
        <v>460</v>
      </c>
      <c r="G286" s="22" t="s">
        <v>1102</v>
      </c>
      <c r="H286" s="22" t="s">
        <v>272</v>
      </c>
      <c r="I286" s="34">
        <v>45746</v>
      </c>
      <c r="J286" s="34">
        <v>45927</v>
      </c>
      <c r="K286" s="22" t="s">
        <v>247</v>
      </c>
    </row>
    <row r="287" spans="1:11" x14ac:dyDescent="0.25">
      <c r="A287" s="22" t="s">
        <v>1103</v>
      </c>
      <c r="B287" s="22" t="s">
        <v>1104</v>
      </c>
      <c r="C287" s="22">
        <v>611</v>
      </c>
      <c r="D287" s="22" t="s">
        <v>250</v>
      </c>
      <c r="E287" s="22">
        <v>2</v>
      </c>
      <c r="F287" s="22">
        <v>470</v>
      </c>
      <c r="G287" s="22" t="s">
        <v>1105</v>
      </c>
      <c r="H287" s="22" t="s">
        <v>252</v>
      </c>
      <c r="I287" s="34">
        <v>45745</v>
      </c>
      <c r="J287" s="34">
        <v>45926</v>
      </c>
      <c r="K287" s="22" t="s">
        <v>246</v>
      </c>
    </row>
    <row r="288" spans="1:11" x14ac:dyDescent="0.25">
      <c r="A288" s="22" t="s">
        <v>1106</v>
      </c>
      <c r="B288" s="22" t="s">
        <v>1107</v>
      </c>
      <c r="C288" s="22">
        <v>624</v>
      </c>
      <c r="D288" s="22" t="s">
        <v>255</v>
      </c>
      <c r="E288" s="22">
        <v>3</v>
      </c>
      <c r="F288" s="22">
        <v>480</v>
      </c>
      <c r="G288" s="22" t="s">
        <v>1108</v>
      </c>
      <c r="H288" s="22" t="s">
        <v>257</v>
      </c>
      <c r="I288" s="34">
        <v>45744</v>
      </c>
      <c r="J288" s="34">
        <v>45925</v>
      </c>
      <c r="K288" s="22" t="s">
        <v>245</v>
      </c>
    </row>
    <row r="289" spans="1:11" x14ac:dyDescent="0.25">
      <c r="A289" s="22" t="s">
        <v>1109</v>
      </c>
      <c r="B289" s="22" t="s">
        <v>1110</v>
      </c>
      <c r="C289" s="22">
        <v>637</v>
      </c>
      <c r="D289" s="22" t="s">
        <v>260</v>
      </c>
      <c r="E289" s="22">
        <v>4</v>
      </c>
      <c r="F289" s="22">
        <v>490</v>
      </c>
      <c r="G289" s="22" t="s">
        <v>1111</v>
      </c>
      <c r="H289" s="22" t="s">
        <v>262</v>
      </c>
      <c r="I289" s="34">
        <v>45743</v>
      </c>
      <c r="J289" s="34">
        <v>45924</v>
      </c>
      <c r="K289" s="22" t="s">
        <v>244</v>
      </c>
    </row>
    <row r="290" spans="1:11" x14ac:dyDescent="0.25">
      <c r="A290" s="22" t="s">
        <v>1112</v>
      </c>
      <c r="B290" s="22" t="s">
        <v>235</v>
      </c>
      <c r="C290" s="22">
        <v>650</v>
      </c>
      <c r="D290" s="22" t="s">
        <v>265</v>
      </c>
      <c r="E290" s="22">
        <v>5</v>
      </c>
      <c r="F290" s="22">
        <v>500</v>
      </c>
      <c r="G290" s="22" t="s">
        <v>1113</v>
      </c>
      <c r="H290" s="22" t="s">
        <v>267</v>
      </c>
      <c r="I290" s="34">
        <v>45742</v>
      </c>
      <c r="J290" s="34">
        <v>45923</v>
      </c>
      <c r="K290" s="22" t="s">
        <v>243</v>
      </c>
    </row>
    <row r="291" spans="1:11" x14ac:dyDescent="0.25">
      <c r="A291" s="22" t="s">
        <v>1114</v>
      </c>
      <c r="B291" s="22" t="s">
        <v>1115</v>
      </c>
      <c r="C291" s="22">
        <v>663</v>
      </c>
      <c r="D291" s="22" t="s">
        <v>270</v>
      </c>
      <c r="E291" s="22">
        <v>1</v>
      </c>
      <c r="F291" s="22">
        <v>510</v>
      </c>
      <c r="G291" s="22" t="s">
        <v>1116</v>
      </c>
      <c r="H291" s="22" t="s">
        <v>272</v>
      </c>
      <c r="I291" s="34">
        <v>45741</v>
      </c>
      <c r="J291" s="34">
        <v>45922</v>
      </c>
      <c r="K291" s="22" t="s">
        <v>247</v>
      </c>
    </row>
    <row r="292" spans="1:11" x14ac:dyDescent="0.25">
      <c r="A292" s="22" t="s">
        <v>1117</v>
      </c>
      <c r="B292" s="22" t="s">
        <v>1118</v>
      </c>
      <c r="C292" s="22">
        <v>676</v>
      </c>
      <c r="D292" s="22" t="s">
        <v>250</v>
      </c>
      <c r="E292" s="22">
        <v>2</v>
      </c>
      <c r="F292" s="22">
        <v>520</v>
      </c>
      <c r="G292" s="22" t="s">
        <v>1119</v>
      </c>
      <c r="H292" s="22" t="s">
        <v>252</v>
      </c>
      <c r="I292" s="34">
        <v>45740</v>
      </c>
      <c r="J292" s="34">
        <v>45921</v>
      </c>
      <c r="K292" s="22" t="s">
        <v>246</v>
      </c>
    </row>
    <row r="293" spans="1:11" x14ac:dyDescent="0.25">
      <c r="A293" s="22" t="s">
        <v>1120</v>
      </c>
      <c r="B293" s="22" t="s">
        <v>1121</v>
      </c>
      <c r="C293" s="22">
        <v>689</v>
      </c>
      <c r="D293" s="22" t="s">
        <v>255</v>
      </c>
      <c r="E293" s="22">
        <v>3</v>
      </c>
      <c r="F293" s="22">
        <v>530</v>
      </c>
      <c r="G293" s="22" t="s">
        <v>1122</v>
      </c>
      <c r="H293" s="22" t="s">
        <v>257</v>
      </c>
      <c r="I293" s="34">
        <v>45739</v>
      </c>
      <c r="J293" s="34">
        <v>45920</v>
      </c>
      <c r="K293" s="22" t="s">
        <v>245</v>
      </c>
    </row>
    <row r="294" spans="1:11" x14ac:dyDescent="0.25">
      <c r="A294" s="22" t="s">
        <v>1123</v>
      </c>
      <c r="B294" s="22" t="s">
        <v>1124</v>
      </c>
      <c r="C294" s="22">
        <v>702</v>
      </c>
      <c r="D294" s="22" t="s">
        <v>260</v>
      </c>
      <c r="E294" s="22">
        <v>4</v>
      </c>
      <c r="F294" s="22">
        <v>540</v>
      </c>
      <c r="G294" s="22" t="s">
        <v>1125</v>
      </c>
      <c r="H294" s="22" t="s">
        <v>262</v>
      </c>
      <c r="I294" s="34">
        <v>45738</v>
      </c>
      <c r="J294" s="34">
        <v>45919</v>
      </c>
      <c r="K294" s="22" t="s">
        <v>244</v>
      </c>
    </row>
    <row r="295" spans="1:11" x14ac:dyDescent="0.25">
      <c r="A295" s="22" t="s">
        <v>1126</v>
      </c>
      <c r="B295" s="22" t="s">
        <v>225</v>
      </c>
      <c r="C295" s="22">
        <v>715</v>
      </c>
      <c r="D295" s="22" t="s">
        <v>265</v>
      </c>
      <c r="E295" s="22">
        <v>5</v>
      </c>
      <c r="F295" s="22">
        <v>550</v>
      </c>
      <c r="G295" s="22" t="s">
        <v>1127</v>
      </c>
      <c r="H295" s="22" t="s">
        <v>267</v>
      </c>
      <c r="I295" s="34">
        <v>45737</v>
      </c>
      <c r="J295" s="34">
        <v>45918</v>
      </c>
      <c r="K295" s="22" t="s">
        <v>243</v>
      </c>
    </row>
    <row r="296" spans="1:11" x14ac:dyDescent="0.25">
      <c r="A296" s="22" t="s">
        <v>1128</v>
      </c>
      <c r="B296" s="22" t="s">
        <v>1129</v>
      </c>
      <c r="C296" s="22">
        <v>728</v>
      </c>
      <c r="D296" s="22" t="s">
        <v>270</v>
      </c>
      <c r="E296" s="22">
        <v>1</v>
      </c>
      <c r="F296" s="22">
        <v>560</v>
      </c>
      <c r="G296" s="22" t="s">
        <v>1130</v>
      </c>
      <c r="H296" s="22" t="s">
        <v>272</v>
      </c>
      <c r="I296" s="34">
        <v>45736</v>
      </c>
      <c r="J296" s="34">
        <v>45917</v>
      </c>
      <c r="K296" s="22" t="s">
        <v>247</v>
      </c>
    </row>
    <row r="297" spans="1:11" x14ac:dyDescent="0.25">
      <c r="A297" s="22" t="s">
        <v>1131</v>
      </c>
      <c r="B297" s="22" t="s">
        <v>1132</v>
      </c>
      <c r="C297" s="22">
        <v>741</v>
      </c>
      <c r="D297" s="22" t="s">
        <v>250</v>
      </c>
      <c r="E297" s="22">
        <v>2</v>
      </c>
      <c r="F297" s="22">
        <v>570</v>
      </c>
      <c r="G297" s="22" t="s">
        <v>1133</v>
      </c>
      <c r="H297" s="22" t="s">
        <v>252</v>
      </c>
      <c r="I297" s="34">
        <v>45735</v>
      </c>
      <c r="J297" s="34">
        <v>45916</v>
      </c>
      <c r="K297" s="22" t="s">
        <v>246</v>
      </c>
    </row>
    <row r="298" spans="1:11" x14ac:dyDescent="0.25">
      <c r="A298" s="22" t="s">
        <v>1134</v>
      </c>
      <c r="B298" s="22" t="s">
        <v>1135</v>
      </c>
      <c r="C298" s="22">
        <v>754</v>
      </c>
      <c r="D298" s="22" t="s">
        <v>255</v>
      </c>
      <c r="E298" s="22">
        <v>3</v>
      </c>
      <c r="F298" s="22">
        <v>580</v>
      </c>
      <c r="G298" s="22" t="s">
        <v>1136</v>
      </c>
      <c r="H298" s="22" t="s">
        <v>257</v>
      </c>
      <c r="I298" s="34">
        <v>45734</v>
      </c>
      <c r="J298" s="34">
        <v>45915</v>
      </c>
      <c r="K298" s="22" t="s">
        <v>245</v>
      </c>
    </row>
    <row r="299" spans="1:11" x14ac:dyDescent="0.25">
      <c r="A299" s="22" t="s">
        <v>1137</v>
      </c>
      <c r="B299" s="22" t="s">
        <v>1138</v>
      </c>
      <c r="C299" s="22">
        <v>767</v>
      </c>
      <c r="D299" s="22" t="s">
        <v>260</v>
      </c>
      <c r="E299" s="22">
        <v>4</v>
      </c>
      <c r="F299" s="22">
        <v>590</v>
      </c>
      <c r="G299" s="22" t="s">
        <v>1139</v>
      </c>
      <c r="H299" s="22" t="s">
        <v>262</v>
      </c>
      <c r="I299" s="34">
        <v>45733</v>
      </c>
      <c r="J299" s="34">
        <v>45914</v>
      </c>
      <c r="K299" s="22" t="s">
        <v>244</v>
      </c>
    </row>
    <row r="300" spans="1:11" x14ac:dyDescent="0.25">
      <c r="A300" s="22" t="s">
        <v>1140</v>
      </c>
      <c r="B300" s="22" t="s">
        <v>1141</v>
      </c>
      <c r="C300" s="22">
        <v>130</v>
      </c>
      <c r="D300" s="22" t="s">
        <v>265</v>
      </c>
      <c r="E300" s="22">
        <v>5</v>
      </c>
      <c r="F300" s="22">
        <v>100</v>
      </c>
      <c r="G300" s="22" t="s">
        <v>1142</v>
      </c>
      <c r="H300" s="22" t="s">
        <v>267</v>
      </c>
      <c r="I300" s="34">
        <v>45732</v>
      </c>
      <c r="J300" s="34">
        <v>45913</v>
      </c>
      <c r="K300" s="22" t="s">
        <v>243</v>
      </c>
    </row>
    <row r="301" spans="1:11" x14ac:dyDescent="0.25">
      <c r="A301" s="22" t="s">
        <v>1143</v>
      </c>
      <c r="B301" s="22" t="s">
        <v>1144</v>
      </c>
      <c r="C301" s="22">
        <v>143</v>
      </c>
      <c r="D301" s="22" t="s">
        <v>270</v>
      </c>
      <c r="E301" s="22">
        <v>1</v>
      </c>
      <c r="F301" s="22">
        <v>110</v>
      </c>
      <c r="G301" s="22" t="s">
        <v>1145</v>
      </c>
      <c r="H301" s="22" t="s">
        <v>272</v>
      </c>
      <c r="I301" s="34">
        <v>45731</v>
      </c>
      <c r="J301" s="34">
        <v>45912</v>
      </c>
      <c r="K301" s="22" t="s">
        <v>247</v>
      </c>
    </row>
    <row r="302" spans="1:11" x14ac:dyDescent="0.25">
      <c r="A302" s="22" t="s">
        <v>1146</v>
      </c>
      <c r="B302" s="22" t="s">
        <v>1147</v>
      </c>
      <c r="C302" s="22">
        <v>156</v>
      </c>
      <c r="D302" s="22" t="s">
        <v>250</v>
      </c>
      <c r="E302" s="22">
        <v>2</v>
      </c>
      <c r="F302" s="22">
        <v>120</v>
      </c>
      <c r="G302" s="22" t="s">
        <v>1148</v>
      </c>
      <c r="H302" s="22" t="s">
        <v>252</v>
      </c>
      <c r="I302" s="34">
        <v>45730</v>
      </c>
      <c r="J302" s="34">
        <v>45911</v>
      </c>
      <c r="K302" s="22" t="s">
        <v>246</v>
      </c>
    </row>
    <row r="303" spans="1:11" x14ac:dyDescent="0.25">
      <c r="A303" s="22" t="s">
        <v>1149</v>
      </c>
      <c r="B303" s="22" t="s">
        <v>1150</v>
      </c>
      <c r="C303" s="22">
        <v>169</v>
      </c>
      <c r="D303" s="22" t="s">
        <v>255</v>
      </c>
      <c r="E303" s="22">
        <v>3</v>
      </c>
      <c r="F303" s="22">
        <v>130</v>
      </c>
      <c r="G303" s="22" t="s">
        <v>1151</v>
      </c>
      <c r="H303" s="22" t="s">
        <v>257</v>
      </c>
      <c r="I303" s="34">
        <v>45729</v>
      </c>
      <c r="J303" s="34">
        <v>45910</v>
      </c>
      <c r="K303" s="22" t="s">
        <v>245</v>
      </c>
    </row>
    <row r="304" spans="1:11" x14ac:dyDescent="0.25">
      <c r="A304" s="22" t="s">
        <v>1152</v>
      </c>
      <c r="B304" s="22" t="s">
        <v>1153</v>
      </c>
      <c r="C304" s="22">
        <v>182</v>
      </c>
      <c r="D304" s="22" t="s">
        <v>260</v>
      </c>
      <c r="E304" s="22">
        <v>4</v>
      </c>
      <c r="F304" s="22">
        <v>140</v>
      </c>
      <c r="G304" s="22" t="s">
        <v>1154</v>
      </c>
      <c r="H304" s="22" t="s">
        <v>262</v>
      </c>
      <c r="I304" s="34">
        <v>45728</v>
      </c>
      <c r="J304" s="34">
        <v>45909</v>
      </c>
      <c r="K304" s="22" t="s">
        <v>244</v>
      </c>
    </row>
    <row r="305" spans="1:11" x14ac:dyDescent="0.25">
      <c r="A305" s="22" t="s">
        <v>1155</v>
      </c>
      <c r="B305" s="22" t="s">
        <v>1156</v>
      </c>
      <c r="C305" s="22">
        <v>195</v>
      </c>
      <c r="D305" s="22" t="s">
        <v>265</v>
      </c>
      <c r="E305" s="22">
        <v>5</v>
      </c>
      <c r="F305" s="22">
        <v>150</v>
      </c>
      <c r="G305" s="22" t="s">
        <v>1157</v>
      </c>
      <c r="H305" s="22" t="s">
        <v>267</v>
      </c>
      <c r="I305" s="34">
        <v>45727</v>
      </c>
      <c r="J305" s="34">
        <v>45908</v>
      </c>
      <c r="K305" s="22" t="s">
        <v>243</v>
      </c>
    </row>
    <row r="306" spans="1:11" x14ac:dyDescent="0.25">
      <c r="A306" s="22" t="s">
        <v>1158</v>
      </c>
      <c r="B306" s="22" t="s">
        <v>1159</v>
      </c>
      <c r="C306" s="22">
        <v>208</v>
      </c>
      <c r="D306" s="22" t="s">
        <v>270</v>
      </c>
      <c r="E306" s="22">
        <v>1</v>
      </c>
      <c r="F306" s="22">
        <v>160</v>
      </c>
      <c r="G306" s="22" t="s">
        <v>1160</v>
      </c>
      <c r="H306" s="22" t="s">
        <v>272</v>
      </c>
      <c r="I306" s="34">
        <v>45726</v>
      </c>
      <c r="J306" s="34">
        <v>45907</v>
      </c>
      <c r="K306" s="22" t="s">
        <v>247</v>
      </c>
    </row>
    <row r="307" spans="1:11" x14ac:dyDescent="0.25">
      <c r="A307" s="22" t="s">
        <v>1161</v>
      </c>
      <c r="B307" s="22" t="s">
        <v>1162</v>
      </c>
      <c r="C307" s="22">
        <v>221</v>
      </c>
      <c r="D307" s="22" t="s">
        <v>250</v>
      </c>
      <c r="E307" s="22">
        <v>2</v>
      </c>
      <c r="F307" s="22">
        <v>170</v>
      </c>
      <c r="G307" s="22" t="s">
        <v>1163</v>
      </c>
      <c r="H307" s="22" t="s">
        <v>252</v>
      </c>
      <c r="I307" s="34">
        <v>45725</v>
      </c>
      <c r="J307" s="34">
        <v>45906</v>
      </c>
      <c r="K307" s="22" t="s">
        <v>246</v>
      </c>
    </row>
    <row r="308" spans="1:11" x14ac:dyDescent="0.25">
      <c r="A308" s="22" t="s">
        <v>1164</v>
      </c>
      <c r="B308" s="22" t="s">
        <v>1165</v>
      </c>
      <c r="C308" s="22">
        <v>234</v>
      </c>
      <c r="D308" s="22" t="s">
        <v>255</v>
      </c>
      <c r="E308" s="22">
        <v>3</v>
      </c>
      <c r="F308" s="22">
        <v>180</v>
      </c>
      <c r="G308" s="22" t="s">
        <v>1166</v>
      </c>
      <c r="H308" s="22" t="s">
        <v>257</v>
      </c>
      <c r="I308" s="34">
        <v>45724</v>
      </c>
      <c r="J308" s="34">
        <v>45905</v>
      </c>
      <c r="K308" s="22" t="s">
        <v>245</v>
      </c>
    </row>
    <row r="309" spans="1:11" x14ac:dyDescent="0.25">
      <c r="A309" s="22" t="s">
        <v>1167</v>
      </c>
      <c r="B309" s="22" t="s">
        <v>1168</v>
      </c>
      <c r="C309" s="22">
        <v>247</v>
      </c>
      <c r="D309" s="22" t="s">
        <v>260</v>
      </c>
      <c r="E309" s="22">
        <v>4</v>
      </c>
      <c r="F309" s="22">
        <v>190</v>
      </c>
      <c r="G309" s="22" t="s">
        <v>1169</v>
      </c>
      <c r="H309" s="22" t="s">
        <v>262</v>
      </c>
      <c r="I309" s="34">
        <v>45723</v>
      </c>
      <c r="J309" s="34">
        <v>45904</v>
      </c>
      <c r="K309" s="22" t="s">
        <v>244</v>
      </c>
    </row>
    <row r="310" spans="1:11" x14ac:dyDescent="0.25">
      <c r="A310" s="22" t="s">
        <v>1170</v>
      </c>
      <c r="B310" s="22" t="s">
        <v>1171</v>
      </c>
      <c r="C310" s="22">
        <v>260</v>
      </c>
      <c r="D310" s="22" t="s">
        <v>265</v>
      </c>
      <c r="E310" s="22">
        <v>5</v>
      </c>
      <c r="F310" s="22">
        <v>200</v>
      </c>
      <c r="G310" s="22" t="s">
        <v>1172</v>
      </c>
      <c r="H310" s="22" t="s">
        <v>267</v>
      </c>
      <c r="I310" s="34">
        <v>45722</v>
      </c>
      <c r="J310" s="34">
        <v>45903</v>
      </c>
      <c r="K310" s="22" t="s">
        <v>243</v>
      </c>
    </row>
    <row r="311" spans="1:11" x14ac:dyDescent="0.25">
      <c r="A311" s="22" t="s">
        <v>1173</v>
      </c>
      <c r="B311" s="22" t="s">
        <v>1174</v>
      </c>
      <c r="C311" s="22">
        <v>273</v>
      </c>
      <c r="D311" s="22" t="s">
        <v>270</v>
      </c>
      <c r="E311" s="22">
        <v>1</v>
      </c>
      <c r="F311" s="22">
        <v>210</v>
      </c>
      <c r="G311" s="22" t="s">
        <v>1175</v>
      </c>
      <c r="H311" s="22" t="s">
        <v>272</v>
      </c>
      <c r="I311" s="34">
        <v>45721</v>
      </c>
      <c r="J311" s="34">
        <v>45902</v>
      </c>
      <c r="K311" s="22" t="s">
        <v>247</v>
      </c>
    </row>
    <row r="312" spans="1:11" x14ac:dyDescent="0.25">
      <c r="A312" s="22" t="s">
        <v>1176</v>
      </c>
      <c r="B312" s="22" t="s">
        <v>1177</v>
      </c>
      <c r="C312" s="22">
        <v>286</v>
      </c>
      <c r="D312" s="22" t="s">
        <v>250</v>
      </c>
      <c r="E312" s="22">
        <v>2</v>
      </c>
      <c r="F312" s="22">
        <v>220</v>
      </c>
      <c r="G312" s="22" t="s">
        <v>1178</v>
      </c>
      <c r="H312" s="22" t="s">
        <v>252</v>
      </c>
      <c r="I312" s="34">
        <v>45720</v>
      </c>
      <c r="J312" s="34">
        <v>45901</v>
      </c>
      <c r="K312" s="22" t="s">
        <v>246</v>
      </c>
    </row>
    <row r="313" spans="1:11" x14ac:dyDescent="0.25">
      <c r="A313" s="22" t="s">
        <v>1179</v>
      </c>
      <c r="B313" s="22" t="s">
        <v>1180</v>
      </c>
      <c r="C313" s="22">
        <v>299</v>
      </c>
      <c r="D313" s="22" t="s">
        <v>255</v>
      </c>
      <c r="E313" s="22">
        <v>3</v>
      </c>
      <c r="F313" s="22">
        <v>230</v>
      </c>
      <c r="G313" s="22" t="s">
        <v>1181</v>
      </c>
      <c r="H313" s="22" t="s">
        <v>257</v>
      </c>
      <c r="I313" s="34">
        <v>45719</v>
      </c>
      <c r="J313" s="34">
        <v>45900</v>
      </c>
      <c r="K313" s="22" t="s">
        <v>245</v>
      </c>
    </row>
    <row r="314" spans="1:11" x14ac:dyDescent="0.25">
      <c r="A314" s="22" t="s">
        <v>1182</v>
      </c>
      <c r="B314" s="22" t="s">
        <v>1183</v>
      </c>
      <c r="C314" s="22">
        <v>312</v>
      </c>
      <c r="D314" s="22" t="s">
        <v>260</v>
      </c>
      <c r="E314" s="22">
        <v>4</v>
      </c>
      <c r="F314" s="22">
        <v>240</v>
      </c>
      <c r="G314" s="22" t="s">
        <v>1184</v>
      </c>
      <c r="H314" s="22" t="s">
        <v>262</v>
      </c>
      <c r="I314" s="34">
        <v>45718</v>
      </c>
      <c r="J314" s="34">
        <v>45899</v>
      </c>
      <c r="K314" s="22" t="s">
        <v>244</v>
      </c>
    </row>
    <row r="315" spans="1:11" x14ac:dyDescent="0.25">
      <c r="A315" s="22" t="s">
        <v>1185</v>
      </c>
      <c r="B315" s="22" t="s">
        <v>1186</v>
      </c>
      <c r="C315" s="22">
        <v>325</v>
      </c>
      <c r="D315" s="22" t="s">
        <v>265</v>
      </c>
      <c r="E315" s="22">
        <v>5</v>
      </c>
      <c r="F315" s="22">
        <v>250</v>
      </c>
      <c r="G315" s="22" t="s">
        <v>1187</v>
      </c>
      <c r="H315" s="22" t="s">
        <v>267</v>
      </c>
      <c r="I315" s="34">
        <v>45717</v>
      </c>
      <c r="J315" s="34">
        <v>45898</v>
      </c>
      <c r="K315" s="22" t="s">
        <v>243</v>
      </c>
    </row>
    <row r="316" spans="1:11" x14ac:dyDescent="0.25">
      <c r="A316" s="22" t="s">
        <v>1188</v>
      </c>
      <c r="B316" s="22" t="s">
        <v>1189</v>
      </c>
      <c r="C316" s="22">
        <v>338</v>
      </c>
      <c r="D316" s="22" t="s">
        <v>270</v>
      </c>
      <c r="E316" s="22">
        <v>1</v>
      </c>
      <c r="F316" s="22">
        <v>260</v>
      </c>
      <c r="G316" s="22" t="s">
        <v>1190</v>
      </c>
      <c r="H316" s="22" t="s">
        <v>272</v>
      </c>
      <c r="I316" s="34">
        <v>45716</v>
      </c>
      <c r="J316" s="34">
        <v>45897</v>
      </c>
      <c r="K316" s="22" t="s">
        <v>247</v>
      </c>
    </row>
    <row r="317" spans="1:11" x14ac:dyDescent="0.25">
      <c r="A317" s="22" t="s">
        <v>1191</v>
      </c>
      <c r="B317" s="22" t="s">
        <v>1192</v>
      </c>
      <c r="C317" s="22">
        <v>351</v>
      </c>
      <c r="D317" s="22" t="s">
        <v>250</v>
      </c>
      <c r="E317" s="22">
        <v>2</v>
      </c>
      <c r="F317" s="22">
        <v>270</v>
      </c>
      <c r="G317" s="22" t="s">
        <v>1193</v>
      </c>
      <c r="H317" s="22" t="s">
        <v>252</v>
      </c>
      <c r="I317" s="34">
        <v>45715</v>
      </c>
      <c r="J317" s="34">
        <v>45896</v>
      </c>
      <c r="K317" s="22" t="s">
        <v>246</v>
      </c>
    </row>
    <row r="318" spans="1:11" x14ac:dyDescent="0.25">
      <c r="A318" s="22" t="s">
        <v>1194</v>
      </c>
      <c r="B318" s="22" t="s">
        <v>1195</v>
      </c>
      <c r="C318" s="22">
        <v>364</v>
      </c>
      <c r="D318" s="22" t="s">
        <v>255</v>
      </c>
      <c r="E318" s="22">
        <v>3</v>
      </c>
      <c r="F318" s="22">
        <v>280</v>
      </c>
      <c r="G318" s="22" t="s">
        <v>1196</v>
      </c>
      <c r="H318" s="22" t="s">
        <v>257</v>
      </c>
      <c r="I318" s="34">
        <v>45714</v>
      </c>
      <c r="J318" s="34">
        <v>45895</v>
      </c>
      <c r="K318" s="22" t="s">
        <v>245</v>
      </c>
    </row>
    <row r="319" spans="1:11" x14ac:dyDescent="0.25">
      <c r="A319" s="22" t="s">
        <v>1197</v>
      </c>
      <c r="B319" s="22" t="s">
        <v>1198</v>
      </c>
      <c r="C319" s="22">
        <v>377</v>
      </c>
      <c r="D319" s="22" t="s">
        <v>260</v>
      </c>
      <c r="E319" s="22">
        <v>4</v>
      </c>
      <c r="F319" s="22">
        <v>290</v>
      </c>
      <c r="G319" s="22" t="s">
        <v>1199</v>
      </c>
      <c r="H319" s="22" t="s">
        <v>262</v>
      </c>
      <c r="I319" s="34">
        <v>45713</v>
      </c>
      <c r="J319" s="34">
        <v>45894</v>
      </c>
      <c r="K319" s="22" t="s">
        <v>244</v>
      </c>
    </row>
    <row r="320" spans="1:11" x14ac:dyDescent="0.25">
      <c r="A320" s="22" t="s">
        <v>1200</v>
      </c>
      <c r="B320" s="22" t="s">
        <v>1201</v>
      </c>
      <c r="C320" s="22">
        <v>390</v>
      </c>
      <c r="D320" s="22" t="s">
        <v>265</v>
      </c>
      <c r="E320" s="22">
        <v>5</v>
      </c>
      <c r="F320" s="22">
        <v>300</v>
      </c>
      <c r="G320" s="22" t="s">
        <v>1202</v>
      </c>
      <c r="H320" s="22" t="s">
        <v>267</v>
      </c>
      <c r="I320" s="34">
        <v>45712</v>
      </c>
      <c r="J320" s="34">
        <v>45893</v>
      </c>
      <c r="K320" s="22" t="s">
        <v>243</v>
      </c>
    </row>
    <row r="321" spans="1:11" x14ac:dyDescent="0.25">
      <c r="A321" s="22" t="s">
        <v>1203</v>
      </c>
      <c r="B321" s="22" t="s">
        <v>1204</v>
      </c>
      <c r="C321" s="22">
        <v>403</v>
      </c>
      <c r="D321" s="22" t="s">
        <v>270</v>
      </c>
      <c r="E321" s="22">
        <v>1</v>
      </c>
      <c r="F321" s="22">
        <v>310</v>
      </c>
      <c r="G321" s="22" t="s">
        <v>1205</v>
      </c>
      <c r="H321" s="22" t="s">
        <v>272</v>
      </c>
      <c r="I321" s="34">
        <v>45711</v>
      </c>
      <c r="J321" s="34">
        <v>45892</v>
      </c>
      <c r="K321" s="22" t="s">
        <v>247</v>
      </c>
    </row>
    <row r="322" spans="1:11" x14ac:dyDescent="0.25">
      <c r="A322" s="22" t="s">
        <v>1206</v>
      </c>
      <c r="B322" s="22" t="s">
        <v>1207</v>
      </c>
      <c r="C322" s="22">
        <v>416</v>
      </c>
      <c r="D322" s="22" t="s">
        <v>250</v>
      </c>
      <c r="E322" s="22">
        <v>2</v>
      </c>
      <c r="F322" s="22">
        <v>320</v>
      </c>
      <c r="G322" s="22" t="s">
        <v>1208</v>
      </c>
      <c r="H322" s="22" t="s">
        <v>252</v>
      </c>
      <c r="I322" s="34">
        <v>45710</v>
      </c>
      <c r="J322" s="34">
        <v>45891</v>
      </c>
      <c r="K322" s="22" t="s">
        <v>246</v>
      </c>
    </row>
    <row r="323" spans="1:11" x14ac:dyDescent="0.25">
      <c r="A323" s="22" t="s">
        <v>1209</v>
      </c>
      <c r="B323" s="22" t="s">
        <v>1210</v>
      </c>
      <c r="C323" s="22">
        <v>429</v>
      </c>
      <c r="D323" s="22" t="s">
        <v>255</v>
      </c>
      <c r="E323" s="22">
        <v>3</v>
      </c>
      <c r="F323" s="22">
        <v>330</v>
      </c>
      <c r="G323" s="22" t="s">
        <v>1211</v>
      </c>
      <c r="H323" s="22" t="s">
        <v>257</v>
      </c>
      <c r="I323" s="34">
        <v>45709</v>
      </c>
      <c r="J323" s="34">
        <v>45890</v>
      </c>
      <c r="K323" s="22" t="s">
        <v>245</v>
      </c>
    </row>
    <row r="324" spans="1:11" x14ac:dyDescent="0.25">
      <c r="A324" s="22" t="s">
        <v>1212</v>
      </c>
      <c r="B324" s="22" t="s">
        <v>1213</v>
      </c>
      <c r="C324" s="22">
        <v>442</v>
      </c>
      <c r="D324" s="22" t="s">
        <v>260</v>
      </c>
      <c r="E324" s="22">
        <v>4</v>
      </c>
      <c r="F324" s="22">
        <v>340</v>
      </c>
      <c r="G324" s="22" t="s">
        <v>1214</v>
      </c>
      <c r="H324" s="22" t="s">
        <v>262</v>
      </c>
      <c r="I324" s="34">
        <v>45708</v>
      </c>
      <c r="J324" s="34">
        <v>45889</v>
      </c>
      <c r="K324" s="22" t="s">
        <v>244</v>
      </c>
    </row>
    <row r="325" spans="1:11" x14ac:dyDescent="0.25">
      <c r="A325" s="22" t="s">
        <v>1215</v>
      </c>
      <c r="B325" s="22" t="s">
        <v>1216</v>
      </c>
      <c r="C325" s="22">
        <v>455</v>
      </c>
      <c r="D325" s="22" t="s">
        <v>265</v>
      </c>
      <c r="E325" s="22">
        <v>5</v>
      </c>
      <c r="F325" s="22">
        <v>350</v>
      </c>
      <c r="G325" s="22" t="s">
        <v>1217</v>
      </c>
      <c r="H325" s="22" t="s">
        <v>267</v>
      </c>
      <c r="I325" s="34">
        <v>45707</v>
      </c>
      <c r="J325" s="34">
        <v>45888</v>
      </c>
      <c r="K325" s="22" t="s">
        <v>243</v>
      </c>
    </row>
    <row r="326" spans="1:11" x14ac:dyDescent="0.25">
      <c r="A326" s="22" t="s">
        <v>1218</v>
      </c>
      <c r="B326" s="22" t="s">
        <v>1219</v>
      </c>
      <c r="C326" s="22">
        <v>468</v>
      </c>
      <c r="D326" s="22" t="s">
        <v>270</v>
      </c>
      <c r="E326" s="22">
        <v>1</v>
      </c>
      <c r="F326" s="22">
        <v>360</v>
      </c>
      <c r="G326" s="22" t="s">
        <v>1220</v>
      </c>
      <c r="H326" s="22" t="s">
        <v>272</v>
      </c>
      <c r="I326" s="34">
        <v>45706</v>
      </c>
      <c r="J326" s="34">
        <v>45887</v>
      </c>
      <c r="K326" s="22" t="s">
        <v>247</v>
      </c>
    </row>
    <row r="327" spans="1:11" x14ac:dyDescent="0.25">
      <c r="A327" s="22" t="s">
        <v>1221</v>
      </c>
      <c r="B327" s="22" t="s">
        <v>1222</v>
      </c>
      <c r="C327" s="22">
        <v>481</v>
      </c>
      <c r="D327" s="22" t="s">
        <v>250</v>
      </c>
      <c r="E327" s="22">
        <v>2</v>
      </c>
      <c r="F327" s="22">
        <v>370</v>
      </c>
      <c r="G327" s="22" t="s">
        <v>1223</v>
      </c>
      <c r="H327" s="22" t="s">
        <v>252</v>
      </c>
      <c r="I327" s="34">
        <v>45705</v>
      </c>
      <c r="J327" s="34">
        <v>45886</v>
      </c>
      <c r="K327" s="22" t="s">
        <v>246</v>
      </c>
    </row>
    <row r="328" spans="1:11" x14ac:dyDescent="0.25">
      <c r="A328" s="22" t="s">
        <v>1224</v>
      </c>
      <c r="B328" s="22" t="s">
        <v>1225</v>
      </c>
      <c r="C328" s="22">
        <v>494</v>
      </c>
      <c r="D328" s="22" t="s">
        <v>255</v>
      </c>
      <c r="E328" s="22">
        <v>3</v>
      </c>
      <c r="F328" s="22">
        <v>380</v>
      </c>
      <c r="G328" s="22" t="s">
        <v>1226</v>
      </c>
      <c r="H328" s="22" t="s">
        <v>257</v>
      </c>
      <c r="I328" s="34">
        <v>45704</v>
      </c>
      <c r="J328" s="34">
        <v>45885</v>
      </c>
      <c r="K328" s="22" t="s">
        <v>245</v>
      </c>
    </row>
    <row r="329" spans="1:11" x14ac:dyDescent="0.25">
      <c r="A329" s="22" t="s">
        <v>1227</v>
      </c>
      <c r="B329" s="22" t="s">
        <v>1228</v>
      </c>
      <c r="C329" s="22">
        <v>507</v>
      </c>
      <c r="D329" s="22" t="s">
        <v>260</v>
      </c>
      <c r="E329" s="22">
        <v>4</v>
      </c>
      <c r="F329" s="22">
        <v>390</v>
      </c>
      <c r="G329" s="22" t="s">
        <v>1229</v>
      </c>
      <c r="H329" s="22" t="s">
        <v>262</v>
      </c>
      <c r="I329" s="34">
        <v>45703</v>
      </c>
      <c r="J329" s="34">
        <v>45884</v>
      </c>
      <c r="K329" s="22" t="s">
        <v>244</v>
      </c>
    </row>
    <row r="330" spans="1:11" x14ac:dyDescent="0.25">
      <c r="A330" s="22" t="s">
        <v>1230</v>
      </c>
      <c r="B330" s="22" t="s">
        <v>1231</v>
      </c>
      <c r="C330" s="22">
        <v>520</v>
      </c>
      <c r="D330" s="22" t="s">
        <v>265</v>
      </c>
      <c r="E330" s="22">
        <v>5</v>
      </c>
      <c r="F330" s="22">
        <v>400</v>
      </c>
      <c r="G330" s="22" t="s">
        <v>1232</v>
      </c>
      <c r="H330" s="22" t="s">
        <v>267</v>
      </c>
      <c r="I330" s="34">
        <v>45702</v>
      </c>
      <c r="J330" s="34">
        <v>45883</v>
      </c>
      <c r="K330" s="22" t="s">
        <v>243</v>
      </c>
    </row>
    <row r="331" spans="1:11" x14ac:dyDescent="0.25">
      <c r="A331" s="22" t="s">
        <v>1233</v>
      </c>
      <c r="B331" s="22" t="s">
        <v>1234</v>
      </c>
      <c r="C331" s="22">
        <v>533</v>
      </c>
      <c r="D331" s="22" t="s">
        <v>270</v>
      </c>
      <c r="E331" s="22">
        <v>1</v>
      </c>
      <c r="F331" s="22">
        <v>410</v>
      </c>
      <c r="G331" s="22" t="s">
        <v>1235</v>
      </c>
      <c r="H331" s="22" t="s">
        <v>272</v>
      </c>
      <c r="I331" s="34">
        <v>45701</v>
      </c>
      <c r="J331" s="34">
        <v>45882</v>
      </c>
      <c r="K331" s="22" t="s">
        <v>247</v>
      </c>
    </row>
    <row r="332" spans="1:11" x14ac:dyDescent="0.25">
      <c r="A332" s="22" t="s">
        <v>1236</v>
      </c>
      <c r="B332" s="22" t="s">
        <v>1237</v>
      </c>
      <c r="C332" s="22">
        <v>546</v>
      </c>
      <c r="D332" s="22" t="s">
        <v>250</v>
      </c>
      <c r="E332" s="22">
        <v>2</v>
      </c>
      <c r="F332" s="22">
        <v>420</v>
      </c>
      <c r="G332" s="22" t="s">
        <v>1238</v>
      </c>
      <c r="H332" s="22" t="s">
        <v>252</v>
      </c>
      <c r="I332" s="34">
        <v>45700</v>
      </c>
      <c r="J332" s="34">
        <v>45881</v>
      </c>
      <c r="K332" s="22" t="s">
        <v>246</v>
      </c>
    </row>
    <row r="333" spans="1:11" x14ac:dyDescent="0.25">
      <c r="A333" s="22" t="s">
        <v>1239</v>
      </c>
      <c r="B333" s="22" t="s">
        <v>1240</v>
      </c>
      <c r="C333" s="22">
        <v>559</v>
      </c>
      <c r="D333" s="22" t="s">
        <v>255</v>
      </c>
      <c r="E333" s="22">
        <v>3</v>
      </c>
      <c r="F333" s="22">
        <v>430</v>
      </c>
      <c r="G333" s="22" t="s">
        <v>1241</v>
      </c>
      <c r="H333" s="22" t="s">
        <v>257</v>
      </c>
      <c r="I333" s="34">
        <v>45699</v>
      </c>
      <c r="J333" s="34">
        <v>45880</v>
      </c>
      <c r="K333" s="22" t="s">
        <v>245</v>
      </c>
    </row>
    <row r="334" spans="1:11" x14ac:dyDescent="0.25">
      <c r="A334" s="22" t="s">
        <v>1242</v>
      </c>
      <c r="B334" s="22" t="s">
        <v>1243</v>
      </c>
      <c r="C334" s="22">
        <v>572</v>
      </c>
      <c r="D334" s="22" t="s">
        <v>260</v>
      </c>
      <c r="E334" s="22">
        <v>4</v>
      </c>
      <c r="F334" s="22">
        <v>440</v>
      </c>
      <c r="G334" s="22" t="s">
        <v>1244</v>
      </c>
      <c r="H334" s="22" t="s">
        <v>262</v>
      </c>
      <c r="I334" s="34">
        <v>45698</v>
      </c>
      <c r="J334" s="34">
        <v>45879</v>
      </c>
      <c r="K334" s="22" t="s">
        <v>244</v>
      </c>
    </row>
    <row r="335" spans="1:11" x14ac:dyDescent="0.25">
      <c r="A335" s="22" t="s">
        <v>1245</v>
      </c>
      <c r="B335" s="22" t="s">
        <v>1246</v>
      </c>
      <c r="C335" s="22">
        <v>585</v>
      </c>
      <c r="D335" s="22" t="s">
        <v>265</v>
      </c>
      <c r="E335" s="22">
        <v>5</v>
      </c>
      <c r="F335" s="22">
        <v>450</v>
      </c>
      <c r="G335" s="22" t="s">
        <v>1247</v>
      </c>
      <c r="H335" s="22" t="s">
        <v>267</v>
      </c>
      <c r="I335" s="34">
        <v>45697</v>
      </c>
      <c r="J335" s="34">
        <v>45878</v>
      </c>
      <c r="K335" s="22" t="s">
        <v>243</v>
      </c>
    </row>
    <row r="336" spans="1:11" x14ac:dyDescent="0.25">
      <c r="A336" s="22" t="s">
        <v>1248</v>
      </c>
      <c r="B336" s="22" t="s">
        <v>1249</v>
      </c>
      <c r="C336" s="22">
        <v>598</v>
      </c>
      <c r="D336" s="22" t="s">
        <v>270</v>
      </c>
      <c r="E336" s="22">
        <v>1</v>
      </c>
      <c r="F336" s="22">
        <v>460</v>
      </c>
      <c r="G336" s="22" t="s">
        <v>1250</v>
      </c>
      <c r="H336" s="22" t="s">
        <v>272</v>
      </c>
      <c r="I336" s="34">
        <v>45696</v>
      </c>
      <c r="J336" s="34">
        <v>45877</v>
      </c>
      <c r="K336" s="22" t="s">
        <v>247</v>
      </c>
    </row>
    <row r="337" spans="1:11" x14ac:dyDescent="0.25">
      <c r="A337" s="22" t="s">
        <v>1251</v>
      </c>
      <c r="B337" s="22" t="s">
        <v>1252</v>
      </c>
      <c r="C337" s="22">
        <v>611</v>
      </c>
      <c r="D337" s="22" t="s">
        <v>250</v>
      </c>
      <c r="E337" s="22">
        <v>2</v>
      </c>
      <c r="F337" s="22">
        <v>470</v>
      </c>
      <c r="G337" s="22" t="s">
        <v>1253</v>
      </c>
      <c r="H337" s="22" t="s">
        <v>252</v>
      </c>
      <c r="I337" s="34">
        <v>45695</v>
      </c>
      <c r="J337" s="34">
        <v>45876</v>
      </c>
      <c r="K337" s="22" t="s">
        <v>246</v>
      </c>
    </row>
    <row r="338" spans="1:11" x14ac:dyDescent="0.25">
      <c r="A338" s="22" t="s">
        <v>1254</v>
      </c>
      <c r="B338" s="22" t="s">
        <v>1255</v>
      </c>
      <c r="C338" s="22">
        <v>624</v>
      </c>
      <c r="D338" s="22" t="s">
        <v>255</v>
      </c>
      <c r="E338" s="22">
        <v>3</v>
      </c>
      <c r="F338" s="22">
        <v>480</v>
      </c>
      <c r="G338" s="22" t="s">
        <v>1256</v>
      </c>
      <c r="H338" s="22" t="s">
        <v>257</v>
      </c>
      <c r="I338" s="34">
        <v>45694</v>
      </c>
      <c r="J338" s="34">
        <v>45875</v>
      </c>
      <c r="K338" s="22" t="s">
        <v>245</v>
      </c>
    </row>
    <row r="339" spans="1:11" x14ac:dyDescent="0.25">
      <c r="A339" s="22" t="s">
        <v>1257</v>
      </c>
      <c r="B339" s="22" t="s">
        <v>1258</v>
      </c>
      <c r="C339" s="22">
        <v>637</v>
      </c>
      <c r="D339" s="22" t="s">
        <v>260</v>
      </c>
      <c r="E339" s="22">
        <v>4</v>
      </c>
      <c r="F339" s="22">
        <v>490</v>
      </c>
      <c r="G339" s="22" t="s">
        <v>1259</v>
      </c>
      <c r="H339" s="22" t="s">
        <v>262</v>
      </c>
      <c r="I339" s="34">
        <v>45693</v>
      </c>
      <c r="J339" s="34">
        <v>45874</v>
      </c>
      <c r="K339" s="22" t="s">
        <v>244</v>
      </c>
    </row>
    <row r="340" spans="1:11" x14ac:dyDescent="0.25">
      <c r="A340" s="22" t="s">
        <v>1260</v>
      </c>
      <c r="B340" s="22" t="s">
        <v>237</v>
      </c>
      <c r="C340" s="22">
        <v>650</v>
      </c>
      <c r="D340" s="22" t="s">
        <v>265</v>
      </c>
      <c r="E340" s="22">
        <v>5</v>
      </c>
      <c r="F340" s="22">
        <v>500</v>
      </c>
      <c r="G340" s="22" t="s">
        <v>1261</v>
      </c>
      <c r="H340" s="22" t="s">
        <v>267</v>
      </c>
      <c r="I340" s="34">
        <v>45692</v>
      </c>
      <c r="J340" s="34">
        <v>45873</v>
      </c>
      <c r="K340" s="22" t="s">
        <v>243</v>
      </c>
    </row>
    <row r="341" spans="1:11" x14ac:dyDescent="0.25">
      <c r="A341" s="22" t="s">
        <v>1262</v>
      </c>
      <c r="B341" s="22" t="s">
        <v>1263</v>
      </c>
      <c r="C341" s="22">
        <v>663</v>
      </c>
      <c r="D341" s="22" t="s">
        <v>270</v>
      </c>
      <c r="E341" s="22">
        <v>1</v>
      </c>
      <c r="F341" s="22">
        <v>510</v>
      </c>
      <c r="G341" s="22" t="s">
        <v>1264</v>
      </c>
      <c r="H341" s="22" t="s">
        <v>272</v>
      </c>
      <c r="I341" s="34">
        <v>45691</v>
      </c>
      <c r="J341" s="34">
        <v>45872</v>
      </c>
      <c r="K341" s="22" t="s">
        <v>247</v>
      </c>
    </row>
    <row r="342" spans="1:11" x14ac:dyDescent="0.25">
      <c r="A342" s="22" t="s">
        <v>1265</v>
      </c>
      <c r="B342" s="22" t="s">
        <v>1266</v>
      </c>
      <c r="C342" s="22">
        <v>676</v>
      </c>
      <c r="D342" s="22" t="s">
        <v>250</v>
      </c>
      <c r="E342" s="22">
        <v>2</v>
      </c>
      <c r="F342" s="22">
        <v>520</v>
      </c>
      <c r="G342" s="22" t="s">
        <v>1267</v>
      </c>
      <c r="H342" s="22" t="s">
        <v>252</v>
      </c>
      <c r="I342" s="34">
        <v>45690</v>
      </c>
      <c r="J342" s="34">
        <v>45871</v>
      </c>
      <c r="K342" s="22" t="s">
        <v>246</v>
      </c>
    </row>
    <row r="343" spans="1:11" x14ac:dyDescent="0.25">
      <c r="A343" s="22" t="s">
        <v>1268</v>
      </c>
      <c r="B343" s="22" t="s">
        <v>1269</v>
      </c>
      <c r="C343" s="22">
        <v>689</v>
      </c>
      <c r="D343" s="22" t="s">
        <v>255</v>
      </c>
      <c r="E343" s="22">
        <v>3</v>
      </c>
      <c r="F343" s="22">
        <v>530</v>
      </c>
      <c r="G343" s="22" t="s">
        <v>1270</v>
      </c>
      <c r="H343" s="22" t="s">
        <v>257</v>
      </c>
      <c r="I343" s="34">
        <v>45689</v>
      </c>
      <c r="J343" s="34">
        <v>45870</v>
      </c>
      <c r="K343" s="22" t="s">
        <v>245</v>
      </c>
    </row>
    <row r="344" spans="1:11" x14ac:dyDescent="0.25">
      <c r="A344" s="22" t="s">
        <v>1271</v>
      </c>
      <c r="B344" s="22" t="s">
        <v>1272</v>
      </c>
      <c r="C344" s="22">
        <v>702</v>
      </c>
      <c r="D344" s="22" t="s">
        <v>260</v>
      </c>
      <c r="E344" s="22">
        <v>4</v>
      </c>
      <c r="F344" s="22">
        <v>540</v>
      </c>
      <c r="G344" s="22" t="s">
        <v>1273</v>
      </c>
      <c r="H344" s="22" t="s">
        <v>262</v>
      </c>
      <c r="I344" s="34">
        <v>45688</v>
      </c>
      <c r="J344" s="34">
        <v>45869</v>
      </c>
      <c r="K344" s="22" t="s">
        <v>244</v>
      </c>
    </row>
    <row r="345" spans="1:11" x14ac:dyDescent="0.25">
      <c r="A345" s="22" t="s">
        <v>1274</v>
      </c>
      <c r="B345" s="22" t="s">
        <v>224</v>
      </c>
      <c r="C345" s="22">
        <v>715</v>
      </c>
      <c r="D345" s="22" t="s">
        <v>265</v>
      </c>
      <c r="E345" s="22">
        <v>5</v>
      </c>
      <c r="F345" s="22">
        <v>550</v>
      </c>
      <c r="G345" s="22" t="s">
        <v>1275</v>
      </c>
      <c r="H345" s="22" t="s">
        <v>267</v>
      </c>
      <c r="I345" s="34">
        <v>45687</v>
      </c>
      <c r="J345" s="34">
        <v>45868</v>
      </c>
      <c r="K345" s="22" t="s">
        <v>243</v>
      </c>
    </row>
    <row r="346" spans="1:11" x14ac:dyDescent="0.25">
      <c r="A346" s="22" t="s">
        <v>1276</v>
      </c>
      <c r="B346" s="22" t="s">
        <v>1277</v>
      </c>
      <c r="C346" s="22">
        <v>728</v>
      </c>
      <c r="D346" s="22" t="s">
        <v>270</v>
      </c>
      <c r="E346" s="22">
        <v>1</v>
      </c>
      <c r="F346" s="22">
        <v>560</v>
      </c>
      <c r="G346" s="22" t="s">
        <v>1278</v>
      </c>
      <c r="H346" s="22" t="s">
        <v>272</v>
      </c>
      <c r="I346" s="34">
        <v>45686</v>
      </c>
      <c r="J346" s="34">
        <v>45867</v>
      </c>
      <c r="K346" s="22" t="s">
        <v>247</v>
      </c>
    </row>
    <row r="347" spans="1:11" x14ac:dyDescent="0.25">
      <c r="A347" s="22" t="s">
        <v>1279</v>
      </c>
      <c r="B347" s="22" t="s">
        <v>1280</v>
      </c>
      <c r="C347" s="22">
        <v>741</v>
      </c>
      <c r="D347" s="22" t="s">
        <v>250</v>
      </c>
      <c r="E347" s="22">
        <v>2</v>
      </c>
      <c r="F347" s="22">
        <v>570</v>
      </c>
      <c r="G347" s="22" t="s">
        <v>1281</v>
      </c>
      <c r="H347" s="22" t="s">
        <v>252</v>
      </c>
      <c r="I347" s="34">
        <v>45685</v>
      </c>
      <c r="J347" s="34">
        <v>45866</v>
      </c>
      <c r="K347" s="22" t="s">
        <v>246</v>
      </c>
    </row>
    <row r="348" spans="1:11" x14ac:dyDescent="0.25">
      <c r="A348" s="22" t="s">
        <v>1282</v>
      </c>
      <c r="B348" s="22" t="s">
        <v>1283</v>
      </c>
      <c r="C348" s="22">
        <v>754</v>
      </c>
      <c r="D348" s="22" t="s">
        <v>255</v>
      </c>
      <c r="E348" s="22">
        <v>3</v>
      </c>
      <c r="F348" s="22">
        <v>580</v>
      </c>
      <c r="G348" s="22" t="s">
        <v>1284</v>
      </c>
      <c r="H348" s="22" t="s">
        <v>257</v>
      </c>
      <c r="I348" s="34">
        <v>45684</v>
      </c>
      <c r="J348" s="34">
        <v>45865</v>
      </c>
      <c r="K348" s="22" t="s">
        <v>245</v>
      </c>
    </row>
    <row r="349" spans="1:11" x14ac:dyDescent="0.25">
      <c r="A349" s="22" t="s">
        <v>1285</v>
      </c>
      <c r="B349" s="22" t="s">
        <v>1286</v>
      </c>
      <c r="C349" s="22">
        <v>767</v>
      </c>
      <c r="D349" s="22" t="s">
        <v>260</v>
      </c>
      <c r="E349" s="22">
        <v>4</v>
      </c>
      <c r="F349" s="22">
        <v>590</v>
      </c>
      <c r="G349" s="22" t="s">
        <v>1287</v>
      </c>
      <c r="H349" s="22" t="s">
        <v>262</v>
      </c>
      <c r="I349" s="34">
        <v>45683</v>
      </c>
      <c r="J349" s="34">
        <v>45864</v>
      </c>
      <c r="K349" s="22" t="s">
        <v>244</v>
      </c>
    </row>
    <row r="350" spans="1:11" x14ac:dyDescent="0.25">
      <c r="A350" s="22" t="s">
        <v>1288</v>
      </c>
      <c r="B350" s="22" t="s">
        <v>1289</v>
      </c>
      <c r="C350" s="22">
        <v>130</v>
      </c>
      <c r="D350" s="22" t="s">
        <v>265</v>
      </c>
      <c r="E350" s="22">
        <v>5</v>
      </c>
      <c r="F350" s="22">
        <v>100</v>
      </c>
      <c r="G350" s="22" t="s">
        <v>1290</v>
      </c>
      <c r="H350" s="22" t="s">
        <v>267</v>
      </c>
      <c r="I350" s="34">
        <v>45682</v>
      </c>
      <c r="J350" s="34">
        <v>45863</v>
      </c>
      <c r="K350" s="22" t="s">
        <v>243</v>
      </c>
    </row>
    <row r="351" spans="1:11" x14ac:dyDescent="0.25">
      <c r="A351" s="22" t="s">
        <v>1291</v>
      </c>
      <c r="B351" s="22" t="s">
        <v>1292</v>
      </c>
      <c r="C351" s="22">
        <v>143</v>
      </c>
      <c r="D351" s="22" t="s">
        <v>270</v>
      </c>
      <c r="E351" s="22">
        <v>1</v>
      </c>
      <c r="F351" s="22">
        <v>110</v>
      </c>
      <c r="G351" s="22" t="s">
        <v>1293</v>
      </c>
      <c r="H351" s="22" t="s">
        <v>272</v>
      </c>
      <c r="I351" s="34">
        <v>45681</v>
      </c>
      <c r="J351" s="34">
        <v>45862</v>
      </c>
      <c r="K351" s="22" t="s">
        <v>247</v>
      </c>
    </row>
    <row r="352" spans="1:11" x14ac:dyDescent="0.25">
      <c r="A352" s="22" t="s">
        <v>1294</v>
      </c>
      <c r="B352" s="22" t="s">
        <v>1295</v>
      </c>
      <c r="C352" s="22">
        <v>156</v>
      </c>
      <c r="D352" s="22" t="s">
        <v>250</v>
      </c>
      <c r="E352" s="22">
        <v>2</v>
      </c>
      <c r="F352" s="22">
        <v>120</v>
      </c>
      <c r="G352" s="22" t="s">
        <v>1296</v>
      </c>
      <c r="H352" s="22" t="s">
        <v>252</v>
      </c>
      <c r="I352" s="34">
        <v>45680</v>
      </c>
      <c r="J352" s="34">
        <v>45861</v>
      </c>
      <c r="K352" s="22" t="s">
        <v>246</v>
      </c>
    </row>
    <row r="353" spans="1:11" x14ac:dyDescent="0.25">
      <c r="A353" s="22" t="s">
        <v>1297</v>
      </c>
      <c r="B353" s="22" t="s">
        <v>1298</v>
      </c>
      <c r="C353" s="22">
        <v>169</v>
      </c>
      <c r="D353" s="22" t="s">
        <v>255</v>
      </c>
      <c r="E353" s="22">
        <v>3</v>
      </c>
      <c r="F353" s="22">
        <v>130</v>
      </c>
      <c r="G353" s="22" t="s">
        <v>1299</v>
      </c>
      <c r="H353" s="22" t="s">
        <v>257</v>
      </c>
      <c r="I353" s="34">
        <v>45679</v>
      </c>
      <c r="J353" s="34">
        <v>45860</v>
      </c>
      <c r="K353" s="22" t="s">
        <v>245</v>
      </c>
    </row>
    <row r="354" spans="1:11" x14ac:dyDescent="0.25">
      <c r="A354" s="22" t="s">
        <v>1300</v>
      </c>
      <c r="B354" s="22" t="s">
        <v>1301</v>
      </c>
      <c r="C354" s="22">
        <v>182</v>
      </c>
      <c r="D354" s="22" t="s">
        <v>260</v>
      </c>
      <c r="E354" s="22">
        <v>4</v>
      </c>
      <c r="F354" s="22">
        <v>140</v>
      </c>
      <c r="G354" s="22" t="s">
        <v>1302</v>
      </c>
      <c r="H354" s="22" t="s">
        <v>262</v>
      </c>
      <c r="I354" s="34">
        <v>45678</v>
      </c>
      <c r="J354" s="34">
        <v>45859</v>
      </c>
      <c r="K354" s="22" t="s">
        <v>244</v>
      </c>
    </row>
    <row r="355" spans="1:11" x14ac:dyDescent="0.25">
      <c r="A355" s="22" t="s">
        <v>1303</v>
      </c>
      <c r="B355" s="22" t="s">
        <v>1304</v>
      </c>
      <c r="C355" s="22">
        <v>195</v>
      </c>
      <c r="D355" s="22" t="s">
        <v>265</v>
      </c>
      <c r="E355" s="22">
        <v>5</v>
      </c>
      <c r="F355" s="22">
        <v>150</v>
      </c>
      <c r="G355" s="22" t="s">
        <v>1305</v>
      </c>
      <c r="H355" s="22" t="s">
        <v>267</v>
      </c>
      <c r="I355" s="34">
        <v>45677</v>
      </c>
      <c r="J355" s="34">
        <v>45858</v>
      </c>
      <c r="K355" s="22" t="s">
        <v>243</v>
      </c>
    </row>
    <row r="356" spans="1:11" x14ac:dyDescent="0.25">
      <c r="A356" s="22" t="s">
        <v>1306</v>
      </c>
      <c r="B356" s="22" t="s">
        <v>1307</v>
      </c>
      <c r="C356" s="22">
        <v>208</v>
      </c>
      <c r="D356" s="22" t="s">
        <v>270</v>
      </c>
      <c r="E356" s="22">
        <v>1</v>
      </c>
      <c r="F356" s="22">
        <v>160</v>
      </c>
      <c r="G356" s="22" t="s">
        <v>1308</v>
      </c>
      <c r="H356" s="22" t="s">
        <v>272</v>
      </c>
      <c r="I356" s="34">
        <v>45676</v>
      </c>
      <c r="J356" s="34">
        <v>45857</v>
      </c>
      <c r="K356" s="22" t="s">
        <v>247</v>
      </c>
    </row>
    <row r="357" spans="1:11" x14ac:dyDescent="0.25">
      <c r="A357" s="22" t="s">
        <v>1309</v>
      </c>
      <c r="B357" s="22" t="s">
        <v>1310</v>
      </c>
      <c r="C357" s="22">
        <v>221</v>
      </c>
      <c r="D357" s="22" t="s">
        <v>250</v>
      </c>
      <c r="E357" s="22">
        <v>2</v>
      </c>
      <c r="F357" s="22">
        <v>170</v>
      </c>
      <c r="G357" s="22" t="s">
        <v>1311</v>
      </c>
      <c r="H357" s="22" t="s">
        <v>252</v>
      </c>
      <c r="I357" s="34">
        <v>45675</v>
      </c>
      <c r="J357" s="34">
        <v>45856</v>
      </c>
      <c r="K357" s="22" t="s">
        <v>246</v>
      </c>
    </row>
    <row r="358" spans="1:11" x14ac:dyDescent="0.25">
      <c r="A358" s="22" t="s">
        <v>1312</v>
      </c>
      <c r="B358" s="22" t="s">
        <v>1313</v>
      </c>
      <c r="C358" s="22">
        <v>234</v>
      </c>
      <c r="D358" s="22" t="s">
        <v>255</v>
      </c>
      <c r="E358" s="22">
        <v>3</v>
      </c>
      <c r="F358" s="22">
        <v>180</v>
      </c>
      <c r="G358" s="22" t="s">
        <v>1314</v>
      </c>
      <c r="H358" s="22" t="s">
        <v>257</v>
      </c>
      <c r="I358" s="34">
        <v>45674</v>
      </c>
      <c r="J358" s="34">
        <v>45855</v>
      </c>
      <c r="K358" s="22" t="s">
        <v>245</v>
      </c>
    </row>
    <row r="359" spans="1:11" x14ac:dyDescent="0.25">
      <c r="A359" s="22" t="s">
        <v>1315</v>
      </c>
      <c r="B359" s="22" t="s">
        <v>1316</v>
      </c>
      <c r="C359" s="22">
        <v>247</v>
      </c>
      <c r="D359" s="22" t="s">
        <v>260</v>
      </c>
      <c r="E359" s="22">
        <v>4</v>
      </c>
      <c r="F359" s="22">
        <v>190</v>
      </c>
      <c r="G359" s="22" t="s">
        <v>1317</v>
      </c>
      <c r="H359" s="22" t="s">
        <v>262</v>
      </c>
      <c r="I359" s="34">
        <v>45673</v>
      </c>
      <c r="J359" s="34">
        <v>45854</v>
      </c>
      <c r="K359" s="22" t="s">
        <v>244</v>
      </c>
    </row>
    <row r="360" spans="1:11" x14ac:dyDescent="0.25">
      <c r="A360" s="22" t="s">
        <v>1318</v>
      </c>
      <c r="B360" s="22" t="s">
        <v>1319</v>
      </c>
      <c r="C360" s="22">
        <v>260</v>
      </c>
      <c r="D360" s="22" t="s">
        <v>265</v>
      </c>
      <c r="E360" s="22">
        <v>5</v>
      </c>
      <c r="F360" s="22">
        <v>200</v>
      </c>
      <c r="G360" s="22" t="s">
        <v>1320</v>
      </c>
      <c r="H360" s="22" t="s">
        <v>267</v>
      </c>
      <c r="I360" s="34">
        <v>45672</v>
      </c>
      <c r="J360" s="34">
        <v>46033</v>
      </c>
      <c r="K360" s="22" t="s">
        <v>243</v>
      </c>
    </row>
    <row r="361" spans="1:11" x14ac:dyDescent="0.25">
      <c r="A361" s="22" t="s">
        <v>1321</v>
      </c>
      <c r="B361" s="22" t="s">
        <v>1322</v>
      </c>
      <c r="C361" s="22">
        <v>273</v>
      </c>
      <c r="D361" s="22" t="s">
        <v>270</v>
      </c>
      <c r="E361" s="22">
        <v>1</v>
      </c>
      <c r="F361" s="22">
        <v>210</v>
      </c>
      <c r="G361" s="22" t="s">
        <v>1323</v>
      </c>
      <c r="H361" s="22" t="s">
        <v>272</v>
      </c>
      <c r="I361" s="34">
        <v>45671</v>
      </c>
      <c r="J361" s="34">
        <v>46032</v>
      </c>
      <c r="K361" s="22" t="s">
        <v>247</v>
      </c>
    </row>
    <row r="362" spans="1:11" x14ac:dyDescent="0.25">
      <c r="A362" s="22" t="s">
        <v>1324</v>
      </c>
      <c r="B362" s="22" t="s">
        <v>1325</v>
      </c>
      <c r="C362" s="22">
        <v>286</v>
      </c>
      <c r="D362" s="22" t="s">
        <v>250</v>
      </c>
      <c r="E362" s="22">
        <v>2</v>
      </c>
      <c r="F362" s="22">
        <v>220</v>
      </c>
      <c r="G362" s="22" t="s">
        <v>1326</v>
      </c>
      <c r="H362" s="22" t="s">
        <v>252</v>
      </c>
      <c r="I362" s="34">
        <v>45670</v>
      </c>
      <c r="J362" s="34">
        <v>46031</v>
      </c>
      <c r="K362" s="22" t="s">
        <v>246</v>
      </c>
    </row>
    <row r="363" spans="1:11" x14ac:dyDescent="0.25">
      <c r="A363" s="22" t="s">
        <v>1327</v>
      </c>
      <c r="B363" s="22" t="s">
        <v>1328</v>
      </c>
      <c r="C363" s="22">
        <v>299</v>
      </c>
      <c r="D363" s="22" t="s">
        <v>255</v>
      </c>
      <c r="E363" s="22">
        <v>3</v>
      </c>
      <c r="F363" s="22">
        <v>230</v>
      </c>
      <c r="G363" s="22" t="s">
        <v>1329</v>
      </c>
      <c r="H363" s="22" t="s">
        <v>257</v>
      </c>
      <c r="I363" s="34">
        <v>45669</v>
      </c>
      <c r="J363" s="34">
        <v>46030</v>
      </c>
      <c r="K363" s="22" t="s">
        <v>245</v>
      </c>
    </row>
    <row r="364" spans="1:11" x14ac:dyDescent="0.25">
      <c r="A364" s="22" t="s">
        <v>1330</v>
      </c>
      <c r="B364" s="22" t="s">
        <v>1331</v>
      </c>
      <c r="C364" s="22">
        <v>312</v>
      </c>
      <c r="D364" s="22" t="s">
        <v>260</v>
      </c>
      <c r="E364" s="22">
        <v>4</v>
      </c>
      <c r="F364" s="22">
        <v>240</v>
      </c>
      <c r="G364" s="22" t="s">
        <v>1332</v>
      </c>
      <c r="H364" s="22" t="s">
        <v>262</v>
      </c>
      <c r="I364" s="34">
        <v>46033</v>
      </c>
      <c r="J364" s="34">
        <v>46029</v>
      </c>
      <c r="K364" s="22" t="s">
        <v>244</v>
      </c>
    </row>
    <row r="365" spans="1:11" x14ac:dyDescent="0.25">
      <c r="A365" s="22" t="s">
        <v>1333</v>
      </c>
      <c r="B365" s="22" t="s">
        <v>1334</v>
      </c>
      <c r="C365" s="22">
        <v>325</v>
      </c>
      <c r="D365" s="22" t="s">
        <v>265</v>
      </c>
      <c r="E365" s="22">
        <v>5</v>
      </c>
      <c r="F365" s="22">
        <v>250</v>
      </c>
      <c r="G365" s="22" t="s">
        <v>1335</v>
      </c>
      <c r="H365" s="22" t="s">
        <v>267</v>
      </c>
      <c r="I365" s="34">
        <v>46032</v>
      </c>
      <c r="J365" s="34">
        <v>46028</v>
      </c>
      <c r="K365" s="22" t="s">
        <v>243</v>
      </c>
    </row>
    <row r="366" spans="1:11" x14ac:dyDescent="0.25">
      <c r="A366" s="22" t="s">
        <v>1336</v>
      </c>
      <c r="B366" s="22" t="s">
        <v>1337</v>
      </c>
      <c r="C366" s="22">
        <v>338</v>
      </c>
      <c r="D366" s="22" t="s">
        <v>270</v>
      </c>
      <c r="E366" s="22">
        <v>1</v>
      </c>
      <c r="F366" s="22">
        <v>260</v>
      </c>
      <c r="G366" s="22" t="s">
        <v>1338</v>
      </c>
      <c r="H366" s="22" t="s">
        <v>272</v>
      </c>
      <c r="I366" s="34">
        <v>46031</v>
      </c>
      <c r="J366" s="34">
        <v>46027</v>
      </c>
      <c r="K366" s="22" t="s">
        <v>247</v>
      </c>
    </row>
    <row r="367" spans="1:11" x14ac:dyDescent="0.25">
      <c r="A367" s="22" t="s">
        <v>1339</v>
      </c>
      <c r="B367" s="22" t="s">
        <v>1340</v>
      </c>
      <c r="C367" s="22">
        <v>351</v>
      </c>
      <c r="D367" s="22" t="s">
        <v>250</v>
      </c>
      <c r="E367" s="22">
        <v>2</v>
      </c>
      <c r="F367" s="22">
        <v>270</v>
      </c>
      <c r="G367" s="22" t="s">
        <v>1341</v>
      </c>
      <c r="H367" s="22" t="s">
        <v>252</v>
      </c>
      <c r="I367" s="34">
        <v>46030</v>
      </c>
      <c r="J367" s="34">
        <v>46026</v>
      </c>
      <c r="K367" s="22" t="s">
        <v>246</v>
      </c>
    </row>
    <row r="368" spans="1:11" x14ac:dyDescent="0.25">
      <c r="A368" s="22" t="s">
        <v>1342</v>
      </c>
      <c r="B368" s="22" t="s">
        <v>1343</v>
      </c>
      <c r="C368" s="22">
        <v>364</v>
      </c>
      <c r="D368" s="22" t="s">
        <v>255</v>
      </c>
      <c r="E368" s="22">
        <v>3</v>
      </c>
      <c r="F368" s="22">
        <v>280</v>
      </c>
      <c r="G368" s="22" t="s">
        <v>1344</v>
      </c>
      <c r="H368" s="22" t="s">
        <v>257</v>
      </c>
      <c r="I368" s="34">
        <v>46029</v>
      </c>
      <c r="J368" s="34">
        <v>46025</v>
      </c>
      <c r="K368" s="22" t="s">
        <v>245</v>
      </c>
    </row>
    <row r="369" spans="1:11" x14ac:dyDescent="0.25">
      <c r="A369" s="22" t="s">
        <v>1345</v>
      </c>
      <c r="B369" s="22" t="s">
        <v>1346</v>
      </c>
      <c r="C369" s="22">
        <v>377</v>
      </c>
      <c r="D369" s="22" t="s">
        <v>260</v>
      </c>
      <c r="E369" s="22">
        <v>4</v>
      </c>
      <c r="F369" s="22">
        <v>290</v>
      </c>
      <c r="G369" s="22" t="s">
        <v>1347</v>
      </c>
      <c r="H369" s="22" t="s">
        <v>262</v>
      </c>
      <c r="I369" s="34">
        <v>46028</v>
      </c>
      <c r="J369" s="34">
        <v>46024</v>
      </c>
      <c r="K369" s="22" t="s">
        <v>244</v>
      </c>
    </row>
    <row r="370" spans="1:11" x14ac:dyDescent="0.25">
      <c r="A370" s="22" t="s">
        <v>1348</v>
      </c>
      <c r="B370" s="22" t="s">
        <v>1349</v>
      </c>
      <c r="C370" s="22">
        <v>390</v>
      </c>
      <c r="D370" s="22" t="s">
        <v>265</v>
      </c>
      <c r="E370" s="22">
        <v>5</v>
      </c>
      <c r="F370" s="22">
        <v>300</v>
      </c>
      <c r="G370" s="22" t="s">
        <v>1350</v>
      </c>
      <c r="H370" s="22" t="s">
        <v>267</v>
      </c>
      <c r="I370" s="34">
        <v>46027</v>
      </c>
      <c r="J370" s="34">
        <v>46023</v>
      </c>
      <c r="K370" s="22" t="s">
        <v>243</v>
      </c>
    </row>
    <row r="371" spans="1:11" x14ac:dyDescent="0.25">
      <c r="A371" s="22" t="s">
        <v>1351</v>
      </c>
      <c r="B371" s="22" t="s">
        <v>1352</v>
      </c>
      <c r="C371" s="22">
        <v>403</v>
      </c>
      <c r="D371" s="22" t="s">
        <v>270</v>
      </c>
      <c r="E371" s="22">
        <v>1</v>
      </c>
      <c r="F371" s="22">
        <v>310</v>
      </c>
      <c r="G371" s="22" t="s">
        <v>1353</v>
      </c>
      <c r="H371" s="22" t="s">
        <v>272</v>
      </c>
      <c r="I371" s="34">
        <v>46026</v>
      </c>
      <c r="J371" s="34">
        <v>46022</v>
      </c>
      <c r="K371" s="22" t="s">
        <v>247</v>
      </c>
    </row>
    <row r="372" spans="1:11" x14ac:dyDescent="0.25">
      <c r="A372" s="22" t="s">
        <v>1354</v>
      </c>
      <c r="B372" s="22" t="s">
        <v>1355</v>
      </c>
      <c r="C372" s="22">
        <v>416</v>
      </c>
      <c r="D372" s="22" t="s">
        <v>250</v>
      </c>
      <c r="E372" s="22">
        <v>2</v>
      </c>
      <c r="F372" s="22">
        <v>320</v>
      </c>
      <c r="G372" s="22" t="s">
        <v>1356</v>
      </c>
      <c r="H372" s="22" t="s">
        <v>252</v>
      </c>
      <c r="I372" s="34">
        <v>46025</v>
      </c>
      <c r="J372" s="34">
        <v>46021</v>
      </c>
      <c r="K372" s="22" t="s">
        <v>246</v>
      </c>
    </row>
    <row r="373" spans="1:11" x14ac:dyDescent="0.25">
      <c r="A373" s="22" t="s">
        <v>1357</v>
      </c>
      <c r="B373" s="22" t="s">
        <v>1358</v>
      </c>
      <c r="C373" s="22">
        <v>429</v>
      </c>
      <c r="D373" s="22" t="s">
        <v>255</v>
      </c>
      <c r="E373" s="22">
        <v>3</v>
      </c>
      <c r="F373" s="22">
        <v>330</v>
      </c>
      <c r="G373" s="22" t="s">
        <v>1359</v>
      </c>
      <c r="H373" s="22" t="s">
        <v>257</v>
      </c>
      <c r="I373" s="34">
        <v>46024</v>
      </c>
      <c r="J373" s="34">
        <v>46020</v>
      </c>
      <c r="K373" s="22" t="s">
        <v>245</v>
      </c>
    </row>
    <row r="374" spans="1:11" x14ac:dyDescent="0.25">
      <c r="A374" s="22" t="s">
        <v>1360</v>
      </c>
      <c r="B374" s="22" t="s">
        <v>1361</v>
      </c>
      <c r="C374" s="22">
        <v>442</v>
      </c>
      <c r="D374" s="22" t="s">
        <v>260</v>
      </c>
      <c r="E374" s="22">
        <v>4</v>
      </c>
      <c r="F374" s="22">
        <v>340</v>
      </c>
      <c r="G374" s="22" t="s">
        <v>1362</v>
      </c>
      <c r="H374" s="22" t="s">
        <v>262</v>
      </c>
      <c r="I374" s="34">
        <v>46023</v>
      </c>
      <c r="J374" s="34">
        <v>46019</v>
      </c>
      <c r="K374" s="22" t="s">
        <v>244</v>
      </c>
    </row>
    <row r="375" spans="1:11" x14ac:dyDescent="0.25">
      <c r="A375" s="22" t="s">
        <v>1363</v>
      </c>
      <c r="B375" s="22" t="s">
        <v>1364</v>
      </c>
      <c r="C375" s="22">
        <v>455</v>
      </c>
      <c r="D375" s="22" t="s">
        <v>265</v>
      </c>
      <c r="E375" s="22">
        <v>5</v>
      </c>
      <c r="F375" s="22">
        <v>350</v>
      </c>
      <c r="G375" s="22" t="s">
        <v>1365</v>
      </c>
      <c r="H375" s="22" t="s">
        <v>267</v>
      </c>
      <c r="I375" s="34">
        <v>46022</v>
      </c>
      <c r="J375" s="34">
        <v>46018</v>
      </c>
      <c r="K375" s="22" t="s">
        <v>243</v>
      </c>
    </row>
    <row r="376" spans="1:11" x14ac:dyDescent="0.25">
      <c r="A376" s="22" t="s">
        <v>1366</v>
      </c>
      <c r="B376" s="22" t="s">
        <v>1367</v>
      </c>
      <c r="C376" s="22">
        <v>468</v>
      </c>
      <c r="D376" s="22" t="s">
        <v>270</v>
      </c>
      <c r="E376" s="22">
        <v>1</v>
      </c>
      <c r="F376" s="22">
        <v>360</v>
      </c>
      <c r="G376" s="22" t="s">
        <v>1368</v>
      </c>
      <c r="H376" s="22" t="s">
        <v>272</v>
      </c>
      <c r="I376" s="34">
        <v>46021</v>
      </c>
      <c r="J376" s="34">
        <v>46017</v>
      </c>
      <c r="K376" s="22" t="s">
        <v>247</v>
      </c>
    </row>
    <row r="377" spans="1:11" x14ac:dyDescent="0.25">
      <c r="A377" s="22" t="s">
        <v>1369</v>
      </c>
      <c r="B377" s="22" t="s">
        <v>1370</v>
      </c>
      <c r="C377" s="22">
        <v>481</v>
      </c>
      <c r="D377" s="22" t="s">
        <v>250</v>
      </c>
      <c r="E377" s="22">
        <v>2</v>
      </c>
      <c r="F377" s="22">
        <v>370</v>
      </c>
      <c r="G377" s="22" t="s">
        <v>1371</v>
      </c>
      <c r="H377" s="22" t="s">
        <v>252</v>
      </c>
      <c r="I377" s="34">
        <v>46020</v>
      </c>
      <c r="J377" s="34">
        <v>46016</v>
      </c>
      <c r="K377" s="22" t="s">
        <v>246</v>
      </c>
    </row>
    <row r="378" spans="1:11" x14ac:dyDescent="0.25">
      <c r="A378" s="22" t="s">
        <v>1372</v>
      </c>
      <c r="B378" s="22" t="s">
        <v>1373</v>
      </c>
      <c r="C378" s="22">
        <v>494</v>
      </c>
      <c r="D378" s="22" t="s">
        <v>255</v>
      </c>
      <c r="E378" s="22">
        <v>3</v>
      </c>
      <c r="F378" s="22">
        <v>380</v>
      </c>
      <c r="G378" s="22" t="s">
        <v>1374</v>
      </c>
      <c r="H378" s="22" t="s">
        <v>257</v>
      </c>
      <c r="I378" s="34">
        <v>46019</v>
      </c>
      <c r="J378" s="34">
        <v>46015</v>
      </c>
      <c r="K378" s="22" t="s">
        <v>245</v>
      </c>
    </row>
    <row r="379" spans="1:11" x14ac:dyDescent="0.25">
      <c r="A379" s="22" t="s">
        <v>1375</v>
      </c>
      <c r="B379" s="22" t="s">
        <v>1376</v>
      </c>
      <c r="C379" s="22">
        <v>507</v>
      </c>
      <c r="D379" s="22" t="s">
        <v>260</v>
      </c>
      <c r="E379" s="22">
        <v>4</v>
      </c>
      <c r="F379" s="22">
        <v>390</v>
      </c>
      <c r="G379" s="22" t="s">
        <v>1377</v>
      </c>
      <c r="H379" s="22" t="s">
        <v>262</v>
      </c>
      <c r="I379" s="34">
        <v>46018</v>
      </c>
      <c r="J379" s="34">
        <v>46014</v>
      </c>
      <c r="K379" s="22" t="s">
        <v>244</v>
      </c>
    </row>
    <row r="380" spans="1:11" x14ac:dyDescent="0.25">
      <c r="A380" s="22" t="s">
        <v>1378</v>
      </c>
      <c r="B380" s="22" t="s">
        <v>1379</v>
      </c>
      <c r="C380" s="22">
        <v>520</v>
      </c>
      <c r="D380" s="22" t="s">
        <v>265</v>
      </c>
      <c r="E380" s="22">
        <v>5</v>
      </c>
      <c r="F380" s="22">
        <v>400</v>
      </c>
      <c r="G380" s="22" t="s">
        <v>1380</v>
      </c>
      <c r="H380" s="22" t="s">
        <v>267</v>
      </c>
      <c r="I380" s="34">
        <v>46017</v>
      </c>
      <c r="J380" s="34">
        <v>46013</v>
      </c>
      <c r="K380" s="22" t="s">
        <v>243</v>
      </c>
    </row>
    <row r="381" spans="1:11" x14ac:dyDescent="0.25">
      <c r="A381" s="22" t="s">
        <v>1381</v>
      </c>
      <c r="B381" s="22" t="s">
        <v>1382</v>
      </c>
      <c r="C381" s="22">
        <v>533</v>
      </c>
      <c r="D381" s="22" t="s">
        <v>270</v>
      </c>
      <c r="E381" s="22">
        <v>1</v>
      </c>
      <c r="F381" s="22">
        <v>410</v>
      </c>
      <c r="G381" s="22" t="s">
        <v>1383</v>
      </c>
      <c r="H381" s="22" t="s">
        <v>272</v>
      </c>
      <c r="I381" s="34">
        <v>46016</v>
      </c>
      <c r="J381" s="34">
        <v>46012</v>
      </c>
      <c r="K381" s="22" t="s">
        <v>247</v>
      </c>
    </row>
    <row r="382" spans="1:11" x14ac:dyDescent="0.25">
      <c r="A382" s="22" t="s">
        <v>1384</v>
      </c>
      <c r="B382" s="22" t="s">
        <v>1385</v>
      </c>
      <c r="C382" s="22">
        <v>546</v>
      </c>
      <c r="D382" s="22" t="s">
        <v>250</v>
      </c>
      <c r="E382" s="22">
        <v>2</v>
      </c>
      <c r="F382" s="22">
        <v>420</v>
      </c>
      <c r="G382" s="22" t="s">
        <v>1386</v>
      </c>
      <c r="H382" s="22" t="s">
        <v>252</v>
      </c>
      <c r="I382" s="34">
        <v>46015</v>
      </c>
      <c r="J382" s="34">
        <v>46011</v>
      </c>
      <c r="K382" s="22" t="s">
        <v>246</v>
      </c>
    </row>
    <row r="383" spans="1:11" x14ac:dyDescent="0.25">
      <c r="A383" s="22" t="s">
        <v>1387</v>
      </c>
      <c r="B383" s="22" t="s">
        <v>1388</v>
      </c>
      <c r="C383" s="22">
        <v>559</v>
      </c>
      <c r="D383" s="22" t="s">
        <v>255</v>
      </c>
      <c r="E383" s="22">
        <v>3</v>
      </c>
      <c r="F383" s="22">
        <v>430</v>
      </c>
      <c r="G383" s="22" t="s">
        <v>1389</v>
      </c>
      <c r="H383" s="22" t="s">
        <v>257</v>
      </c>
      <c r="I383" s="34">
        <v>46014</v>
      </c>
      <c r="J383" s="34">
        <v>46010</v>
      </c>
      <c r="K383" s="22" t="s">
        <v>245</v>
      </c>
    </row>
    <row r="384" spans="1:11" x14ac:dyDescent="0.25">
      <c r="A384" s="22" t="s">
        <v>1390</v>
      </c>
      <c r="B384" s="22" t="s">
        <v>1391</v>
      </c>
      <c r="C384" s="22">
        <v>572</v>
      </c>
      <c r="D384" s="22" t="s">
        <v>260</v>
      </c>
      <c r="E384" s="22">
        <v>4</v>
      </c>
      <c r="F384" s="22">
        <v>440</v>
      </c>
      <c r="G384" s="22" t="s">
        <v>1392</v>
      </c>
      <c r="H384" s="22" t="s">
        <v>262</v>
      </c>
      <c r="I384" s="34">
        <v>46013</v>
      </c>
      <c r="J384" s="34">
        <v>46009</v>
      </c>
      <c r="K384" s="22" t="s">
        <v>244</v>
      </c>
    </row>
    <row r="385" spans="1:11" x14ac:dyDescent="0.25">
      <c r="A385" s="22" t="s">
        <v>1393</v>
      </c>
      <c r="B385" s="22" t="s">
        <v>1394</v>
      </c>
      <c r="C385" s="22">
        <v>585</v>
      </c>
      <c r="D385" s="22" t="s">
        <v>265</v>
      </c>
      <c r="E385" s="22">
        <v>5</v>
      </c>
      <c r="F385" s="22">
        <v>450</v>
      </c>
      <c r="G385" s="22" t="s">
        <v>1395</v>
      </c>
      <c r="H385" s="22" t="s">
        <v>267</v>
      </c>
      <c r="I385" s="34">
        <v>46012</v>
      </c>
      <c r="J385" s="34">
        <v>46008</v>
      </c>
      <c r="K385" s="22" t="s">
        <v>243</v>
      </c>
    </row>
    <row r="386" spans="1:11" x14ac:dyDescent="0.25">
      <c r="A386" s="22" t="s">
        <v>1396</v>
      </c>
      <c r="B386" s="22" t="s">
        <v>1397</v>
      </c>
      <c r="C386" s="22">
        <v>598</v>
      </c>
      <c r="D386" s="22" t="s">
        <v>270</v>
      </c>
      <c r="E386" s="22">
        <v>1</v>
      </c>
      <c r="F386" s="22">
        <v>460</v>
      </c>
      <c r="G386" s="22" t="s">
        <v>1398</v>
      </c>
      <c r="H386" s="22" t="s">
        <v>272</v>
      </c>
      <c r="I386" s="34">
        <v>46011</v>
      </c>
      <c r="J386" s="34">
        <v>46007</v>
      </c>
      <c r="K386" s="22" t="s">
        <v>247</v>
      </c>
    </row>
    <row r="387" spans="1:11" x14ac:dyDescent="0.25">
      <c r="A387" s="22" t="s">
        <v>1399</v>
      </c>
      <c r="B387" s="22" t="s">
        <v>1400</v>
      </c>
      <c r="C387" s="22">
        <v>611</v>
      </c>
      <c r="D387" s="22" t="s">
        <v>250</v>
      </c>
      <c r="E387" s="22">
        <v>2</v>
      </c>
      <c r="F387" s="22">
        <v>470</v>
      </c>
      <c r="G387" s="22" t="s">
        <v>1401</v>
      </c>
      <c r="H387" s="22" t="s">
        <v>252</v>
      </c>
      <c r="I387" s="34">
        <v>46010</v>
      </c>
      <c r="J387" s="34">
        <v>46006</v>
      </c>
      <c r="K387" s="22" t="s">
        <v>246</v>
      </c>
    </row>
    <row r="388" spans="1:11" x14ac:dyDescent="0.25">
      <c r="A388" s="22" t="s">
        <v>1402</v>
      </c>
      <c r="B388" s="22" t="s">
        <v>1403</v>
      </c>
      <c r="C388" s="22">
        <v>624</v>
      </c>
      <c r="D388" s="22" t="s">
        <v>255</v>
      </c>
      <c r="E388" s="22">
        <v>3</v>
      </c>
      <c r="F388" s="22">
        <v>480</v>
      </c>
      <c r="G388" s="22" t="s">
        <v>1404</v>
      </c>
      <c r="H388" s="22" t="s">
        <v>257</v>
      </c>
      <c r="I388" s="34">
        <v>46009</v>
      </c>
      <c r="J388" s="34">
        <v>46005</v>
      </c>
      <c r="K388" s="22" t="s">
        <v>245</v>
      </c>
    </row>
    <row r="389" spans="1:11" x14ac:dyDescent="0.25">
      <c r="A389" s="22" t="s">
        <v>1405</v>
      </c>
      <c r="B389" s="22" t="s">
        <v>1406</v>
      </c>
      <c r="C389" s="22">
        <v>637</v>
      </c>
      <c r="D389" s="22" t="s">
        <v>260</v>
      </c>
      <c r="E389" s="22">
        <v>4</v>
      </c>
      <c r="F389" s="22">
        <v>490</v>
      </c>
      <c r="G389" s="22" t="s">
        <v>1407</v>
      </c>
      <c r="H389" s="22" t="s">
        <v>262</v>
      </c>
      <c r="I389" s="34">
        <v>46008</v>
      </c>
      <c r="J389" s="34">
        <v>46004</v>
      </c>
      <c r="K389" s="22" t="s">
        <v>244</v>
      </c>
    </row>
    <row r="390" spans="1:11" x14ac:dyDescent="0.25">
      <c r="A390" s="22" t="s">
        <v>1408</v>
      </c>
      <c r="B390" s="22" t="s">
        <v>234</v>
      </c>
      <c r="C390" s="22">
        <v>650</v>
      </c>
      <c r="D390" s="22" t="s">
        <v>265</v>
      </c>
      <c r="E390" s="22">
        <v>5</v>
      </c>
      <c r="F390" s="22">
        <v>500</v>
      </c>
      <c r="G390" s="22" t="s">
        <v>1409</v>
      </c>
      <c r="H390" s="22" t="s">
        <v>267</v>
      </c>
      <c r="I390" s="34">
        <v>46007</v>
      </c>
      <c r="J390" s="34">
        <v>46003</v>
      </c>
      <c r="K390" s="22" t="s">
        <v>243</v>
      </c>
    </row>
    <row r="391" spans="1:11" x14ac:dyDescent="0.25">
      <c r="A391" s="22" t="s">
        <v>1410</v>
      </c>
      <c r="B391" s="22" t="s">
        <v>1411</v>
      </c>
      <c r="C391" s="22">
        <v>663</v>
      </c>
      <c r="D391" s="22" t="s">
        <v>270</v>
      </c>
      <c r="E391" s="22">
        <v>1</v>
      </c>
      <c r="F391" s="22">
        <v>510</v>
      </c>
      <c r="G391" s="22" t="s">
        <v>1412</v>
      </c>
      <c r="H391" s="22" t="s">
        <v>272</v>
      </c>
      <c r="I391" s="34">
        <v>46006</v>
      </c>
      <c r="J391" s="34">
        <v>46002</v>
      </c>
      <c r="K391" s="22" t="s">
        <v>247</v>
      </c>
    </row>
    <row r="392" spans="1:11" x14ac:dyDescent="0.25">
      <c r="A392" s="22" t="s">
        <v>1413</v>
      </c>
      <c r="B392" s="22" t="s">
        <v>1414</v>
      </c>
      <c r="C392" s="22">
        <v>676</v>
      </c>
      <c r="D392" s="22" t="s">
        <v>250</v>
      </c>
      <c r="E392" s="22">
        <v>2</v>
      </c>
      <c r="F392" s="22">
        <v>520</v>
      </c>
      <c r="G392" s="22" t="s">
        <v>1415</v>
      </c>
      <c r="H392" s="22" t="s">
        <v>252</v>
      </c>
      <c r="I392" s="34">
        <v>46005</v>
      </c>
      <c r="J392" s="34">
        <v>46001</v>
      </c>
      <c r="K392" s="22" t="s">
        <v>246</v>
      </c>
    </row>
    <row r="393" spans="1:11" x14ac:dyDescent="0.25">
      <c r="A393" s="22" t="s">
        <v>1416</v>
      </c>
      <c r="B393" s="22" t="s">
        <v>1417</v>
      </c>
      <c r="C393" s="22">
        <v>689</v>
      </c>
      <c r="D393" s="22" t="s">
        <v>255</v>
      </c>
      <c r="E393" s="22">
        <v>3</v>
      </c>
      <c r="F393" s="22">
        <v>530</v>
      </c>
      <c r="G393" s="22" t="s">
        <v>1418</v>
      </c>
      <c r="H393" s="22" t="s">
        <v>257</v>
      </c>
      <c r="I393" s="34">
        <v>46004</v>
      </c>
      <c r="J393" s="34">
        <v>46000</v>
      </c>
      <c r="K393" s="22" t="s">
        <v>245</v>
      </c>
    </row>
    <row r="394" spans="1:11" x14ac:dyDescent="0.25">
      <c r="A394" s="22" t="s">
        <v>1419</v>
      </c>
      <c r="B394" s="22" t="s">
        <v>1420</v>
      </c>
      <c r="C394" s="22">
        <v>702</v>
      </c>
      <c r="D394" s="22" t="s">
        <v>260</v>
      </c>
      <c r="E394" s="22">
        <v>4</v>
      </c>
      <c r="F394" s="22">
        <v>540</v>
      </c>
      <c r="G394" s="22" t="s">
        <v>1421</v>
      </c>
      <c r="H394" s="22" t="s">
        <v>262</v>
      </c>
      <c r="I394" s="34">
        <v>46003</v>
      </c>
      <c r="J394" s="34">
        <v>45999</v>
      </c>
      <c r="K394" s="22" t="s">
        <v>244</v>
      </c>
    </row>
    <row r="395" spans="1:11" x14ac:dyDescent="0.25">
      <c r="A395" s="22" t="s">
        <v>1422</v>
      </c>
      <c r="B395" s="22" t="s">
        <v>228</v>
      </c>
      <c r="C395" s="22">
        <v>715</v>
      </c>
      <c r="D395" s="22" t="s">
        <v>265</v>
      </c>
      <c r="E395" s="22">
        <v>5</v>
      </c>
      <c r="F395" s="22">
        <v>550</v>
      </c>
      <c r="G395" s="22" t="s">
        <v>1423</v>
      </c>
      <c r="H395" s="22" t="s">
        <v>267</v>
      </c>
      <c r="I395" s="34">
        <v>46002</v>
      </c>
      <c r="J395" s="34">
        <v>45998</v>
      </c>
      <c r="K395" s="22" t="s">
        <v>243</v>
      </c>
    </row>
    <row r="396" spans="1:11" x14ac:dyDescent="0.25">
      <c r="A396" s="22" t="s">
        <v>1424</v>
      </c>
      <c r="B396" s="22" t="s">
        <v>1425</v>
      </c>
      <c r="C396" s="22">
        <v>728</v>
      </c>
      <c r="D396" s="22" t="s">
        <v>270</v>
      </c>
      <c r="E396" s="22">
        <v>1</v>
      </c>
      <c r="F396" s="22">
        <v>560</v>
      </c>
      <c r="G396" s="22" t="s">
        <v>1426</v>
      </c>
      <c r="H396" s="22" t="s">
        <v>272</v>
      </c>
      <c r="I396" s="34">
        <v>46001</v>
      </c>
      <c r="J396" s="34">
        <v>45997</v>
      </c>
      <c r="K396" s="22" t="s">
        <v>247</v>
      </c>
    </row>
    <row r="397" spans="1:11" x14ac:dyDescent="0.25">
      <c r="A397" s="22" t="s">
        <v>1427</v>
      </c>
      <c r="B397" s="22" t="s">
        <v>1428</v>
      </c>
      <c r="C397" s="22">
        <v>741</v>
      </c>
      <c r="D397" s="22" t="s">
        <v>250</v>
      </c>
      <c r="E397" s="22">
        <v>2</v>
      </c>
      <c r="F397" s="22">
        <v>570</v>
      </c>
      <c r="G397" s="22" t="s">
        <v>1429</v>
      </c>
      <c r="H397" s="22" t="s">
        <v>252</v>
      </c>
      <c r="I397" s="34">
        <v>46000</v>
      </c>
      <c r="J397" s="34">
        <v>45996</v>
      </c>
      <c r="K397" s="22" t="s">
        <v>246</v>
      </c>
    </row>
    <row r="398" spans="1:11" x14ac:dyDescent="0.25">
      <c r="A398" s="22" t="s">
        <v>1430</v>
      </c>
      <c r="B398" s="22" t="s">
        <v>1431</v>
      </c>
      <c r="C398" s="22">
        <v>754</v>
      </c>
      <c r="D398" s="22" t="s">
        <v>255</v>
      </c>
      <c r="E398" s="22">
        <v>3</v>
      </c>
      <c r="F398" s="22">
        <v>580</v>
      </c>
      <c r="G398" s="22" t="s">
        <v>1432</v>
      </c>
      <c r="H398" s="22" t="s">
        <v>257</v>
      </c>
      <c r="I398" s="34">
        <v>45999</v>
      </c>
      <c r="J398" s="34">
        <v>45995</v>
      </c>
      <c r="K398" s="22" t="s">
        <v>245</v>
      </c>
    </row>
    <row r="399" spans="1:11" x14ac:dyDescent="0.25">
      <c r="A399" s="22" t="s">
        <v>1433</v>
      </c>
      <c r="B399" s="22" t="s">
        <v>1434</v>
      </c>
      <c r="C399" s="22">
        <v>767</v>
      </c>
      <c r="D399" s="22" t="s">
        <v>260</v>
      </c>
      <c r="E399" s="22">
        <v>4</v>
      </c>
      <c r="F399" s="22">
        <v>590</v>
      </c>
      <c r="G399" s="22" t="s">
        <v>1435</v>
      </c>
      <c r="H399" s="22" t="s">
        <v>262</v>
      </c>
      <c r="I399" s="34">
        <v>45998</v>
      </c>
      <c r="J399" s="34">
        <v>45994</v>
      </c>
      <c r="K399" s="22" t="s">
        <v>244</v>
      </c>
    </row>
    <row r="400" spans="1:11" x14ac:dyDescent="0.25">
      <c r="A400" s="22" t="s">
        <v>1436</v>
      </c>
      <c r="B400" s="22" t="s">
        <v>1437</v>
      </c>
      <c r="C400" s="22">
        <v>130</v>
      </c>
      <c r="D400" s="22" t="s">
        <v>265</v>
      </c>
      <c r="E400" s="22">
        <v>5</v>
      </c>
      <c r="F400" s="22">
        <v>100</v>
      </c>
      <c r="G400" s="22" t="s">
        <v>1438</v>
      </c>
      <c r="H400" s="22" t="s">
        <v>267</v>
      </c>
      <c r="I400" s="34">
        <v>45997</v>
      </c>
      <c r="J400" s="34">
        <v>45993</v>
      </c>
      <c r="K400" s="22" t="s">
        <v>243</v>
      </c>
    </row>
    <row r="401" spans="1:11" x14ac:dyDescent="0.25">
      <c r="A401" s="22" t="s">
        <v>1439</v>
      </c>
      <c r="B401" s="22" t="s">
        <v>1440</v>
      </c>
      <c r="C401" s="22">
        <v>143</v>
      </c>
      <c r="D401" s="22" t="s">
        <v>270</v>
      </c>
      <c r="E401" s="22">
        <v>1</v>
      </c>
      <c r="F401" s="22">
        <v>110</v>
      </c>
      <c r="G401" s="22" t="s">
        <v>1441</v>
      </c>
      <c r="H401" s="22" t="s">
        <v>272</v>
      </c>
      <c r="I401" s="34">
        <v>45996</v>
      </c>
      <c r="J401" s="34">
        <v>45992</v>
      </c>
      <c r="K401" s="22" t="s">
        <v>247</v>
      </c>
    </row>
    <row r="402" spans="1:11" x14ac:dyDescent="0.25">
      <c r="A402" s="22" t="s">
        <v>1442</v>
      </c>
      <c r="B402" s="22" t="s">
        <v>1443</v>
      </c>
      <c r="C402" s="22">
        <v>156</v>
      </c>
      <c r="D402" s="22" t="s">
        <v>250</v>
      </c>
      <c r="E402" s="22">
        <v>2</v>
      </c>
      <c r="F402" s="22">
        <v>120</v>
      </c>
      <c r="G402" s="22" t="s">
        <v>1444</v>
      </c>
      <c r="H402" s="22" t="s">
        <v>252</v>
      </c>
      <c r="I402" s="34">
        <v>45995</v>
      </c>
      <c r="J402" s="34">
        <v>45991</v>
      </c>
      <c r="K402" s="22" t="s">
        <v>246</v>
      </c>
    </row>
    <row r="403" spans="1:11" x14ac:dyDescent="0.25">
      <c r="A403" s="22" t="s">
        <v>1445</v>
      </c>
      <c r="B403" s="22" t="s">
        <v>1446</v>
      </c>
      <c r="C403" s="22">
        <v>169</v>
      </c>
      <c r="D403" s="22" t="s">
        <v>255</v>
      </c>
      <c r="E403" s="22">
        <v>3</v>
      </c>
      <c r="F403" s="22">
        <v>130</v>
      </c>
      <c r="G403" s="22" t="s">
        <v>1447</v>
      </c>
      <c r="H403" s="22" t="s">
        <v>257</v>
      </c>
      <c r="I403" s="34">
        <v>45994</v>
      </c>
      <c r="J403" s="34">
        <v>45990</v>
      </c>
      <c r="K403" s="22" t="s">
        <v>245</v>
      </c>
    </row>
    <row r="404" spans="1:11" x14ac:dyDescent="0.25">
      <c r="A404" s="22" t="s">
        <v>1448</v>
      </c>
      <c r="B404" s="22" t="s">
        <v>1449</v>
      </c>
      <c r="C404" s="22">
        <v>182</v>
      </c>
      <c r="D404" s="22" t="s">
        <v>260</v>
      </c>
      <c r="E404" s="22">
        <v>4</v>
      </c>
      <c r="F404" s="22">
        <v>140</v>
      </c>
      <c r="G404" s="22" t="s">
        <v>1450</v>
      </c>
      <c r="H404" s="22" t="s">
        <v>262</v>
      </c>
      <c r="I404" s="34">
        <v>45993</v>
      </c>
      <c r="J404" s="34">
        <v>45989</v>
      </c>
      <c r="K404" s="22" t="s">
        <v>244</v>
      </c>
    </row>
    <row r="405" spans="1:11" x14ac:dyDescent="0.25">
      <c r="A405" s="22" t="s">
        <v>1451</v>
      </c>
      <c r="B405" s="22" t="s">
        <v>1452</v>
      </c>
      <c r="C405" s="22">
        <v>195</v>
      </c>
      <c r="D405" s="22" t="s">
        <v>265</v>
      </c>
      <c r="E405" s="22">
        <v>5</v>
      </c>
      <c r="F405" s="22">
        <v>150</v>
      </c>
      <c r="G405" s="22" t="s">
        <v>1453</v>
      </c>
      <c r="H405" s="22" t="s">
        <v>267</v>
      </c>
      <c r="I405" s="34">
        <v>45992</v>
      </c>
      <c r="J405" s="34">
        <v>45988</v>
      </c>
      <c r="K405" s="22" t="s">
        <v>243</v>
      </c>
    </row>
    <row r="406" spans="1:11" x14ac:dyDescent="0.25">
      <c r="A406" s="22" t="s">
        <v>1454</v>
      </c>
      <c r="B406" s="22" t="s">
        <v>1455</v>
      </c>
      <c r="C406" s="22">
        <v>208</v>
      </c>
      <c r="D406" s="22" t="s">
        <v>270</v>
      </c>
      <c r="E406" s="22">
        <v>1</v>
      </c>
      <c r="F406" s="22">
        <v>160</v>
      </c>
      <c r="G406" s="22" t="s">
        <v>1456</v>
      </c>
      <c r="H406" s="22" t="s">
        <v>272</v>
      </c>
      <c r="I406" s="34">
        <v>45991</v>
      </c>
      <c r="J406" s="34">
        <v>45987</v>
      </c>
      <c r="K406" s="22" t="s">
        <v>247</v>
      </c>
    </row>
    <row r="407" spans="1:11" x14ac:dyDescent="0.25">
      <c r="A407" s="22" t="s">
        <v>1457</v>
      </c>
      <c r="B407" s="22" t="s">
        <v>1458</v>
      </c>
      <c r="C407" s="22">
        <v>221</v>
      </c>
      <c r="D407" s="22" t="s">
        <v>250</v>
      </c>
      <c r="E407" s="22">
        <v>2</v>
      </c>
      <c r="F407" s="22">
        <v>170</v>
      </c>
      <c r="G407" s="22" t="s">
        <v>1459</v>
      </c>
      <c r="H407" s="22" t="s">
        <v>252</v>
      </c>
      <c r="I407" s="34">
        <v>45990</v>
      </c>
      <c r="J407" s="34">
        <v>45986</v>
      </c>
      <c r="K407" s="22" t="s">
        <v>246</v>
      </c>
    </row>
    <row r="408" spans="1:11" x14ac:dyDescent="0.25">
      <c r="A408" s="22" t="s">
        <v>1460</v>
      </c>
      <c r="B408" s="22" t="s">
        <v>1461</v>
      </c>
      <c r="C408" s="22">
        <v>234</v>
      </c>
      <c r="D408" s="22" t="s">
        <v>255</v>
      </c>
      <c r="E408" s="22">
        <v>3</v>
      </c>
      <c r="F408" s="22">
        <v>180</v>
      </c>
      <c r="G408" s="22" t="s">
        <v>1462</v>
      </c>
      <c r="H408" s="22" t="s">
        <v>257</v>
      </c>
      <c r="I408" s="34">
        <v>45989</v>
      </c>
      <c r="J408" s="34">
        <v>45985</v>
      </c>
      <c r="K408" s="22" t="s">
        <v>245</v>
      </c>
    </row>
    <row r="409" spans="1:11" x14ac:dyDescent="0.25">
      <c r="A409" s="22" t="s">
        <v>1463</v>
      </c>
      <c r="B409" s="22" t="s">
        <v>1464</v>
      </c>
      <c r="C409" s="22">
        <v>247</v>
      </c>
      <c r="D409" s="22" t="s">
        <v>260</v>
      </c>
      <c r="E409" s="22">
        <v>4</v>
      </c>
      <c r="F409" s="22">
        <v>190</v>
      </c>
      <c r="G409" s="22" t="s">
        <v>1465</v>
      </c>
      <c r="H409" s="22" t="s">
        <v>262</v>
      </c>
      <c r="I409" s="34">
        <v>45988</v>
      </c>
      <c r="J409" s="34">
        <v>45984</v>
      </c>
      <c r="K409" s="22" t="s">
        <v>244</v>
      </c>
    </row>
    <row r="410" spans="1:11" x14ac:dyDescent="0.25">
      <c r="A410" s="22" t="s">
        <v>1466</v>
      </c>
      <c r="B410" s="22" t="s">
        <v>1467</v>
      </c>
      <c r="C410" s="22">
        <v>260</v>
      </c>
      <c r="D410" s="22" t="s">
        <v>265</v>
      </c>
      <c r="E410" s="22">
        <v>5</v>
      </c>
      <c r="F410" s="22">
        <v>200</v>
      </c>
      <c r="G410" s="22" t="s">
        <v>1468</v>
      </c>
      <c r="H410" s="22" t="s">
        <v>267</v>
      </c>
      <c r="I410" s="34">
        <v>45987</v>
      </c>
      <c r="J410" s="34">
        <v>45983</v>
      </c>
      <c r="K410" s="22" t="s">
        <v>243</v>
      </c>
    </row>
    <row r="411" spans="1:11" x14ac:dyDescent="0.25">
      <c r="A411" s="22" t="s">
        <v>1469</v>
      </c>
      <c r="B411" s="22" t="s">
        <v>1470</v>
      </c>
      <c r="C411" s="22">
        <v>273</v>
      </c>
      <c r="D411" s="22" t="s">
        <v>270</v>
      </c>
      <c r="E411" s="22">
        <v>1</v>
      </c>
      <c r="F411" s="22">
        <v>210</v>
      </c>
      <c r="G411" s="22" t="s">
        <v>1471</v>
      </c>
      <c r="H411" s="22" t="s">
        <v>272</v>
      </c>
      <c r="I411" s="34">
        <v>45986</v>
      </c>
      <c r="J411" s="34">
        <v>45982</v>
      </c>
      <c r="K411" s="22" t="s">
        <v>247</v>
      </c>
    </row>
    <row r="412" spans="1:11" x14ac:dyDescent="0.25">
      <c r="A412" s="22" t="s">
        <v>1472</v>
      </c>
      <c r="B412" s="22" t="s">
        <v>1473</v>
      </c>
      <c r="C412" s="22">
        <v>286</v>
      </c>
      <c r="D412" s="22" t="s">
        <v>250</v>
      </c>
      <c r="E412" s="22">
        <v>2</v>
      </c>
      <c r="F412" s="22">
        <v>220</v>
      </c>
      <c r="G412" s="22" t="s">
        <v>1474</v>
      </c>
      <c r="H412" s="22" t="s">
        <v>252</v>
      </c>
      <c r="I412" s="34">
        <v>45985</v>
      </c>
      <c r="J412" s="34">
        <v>45981</v>
      </c>
      <c r="K412" s="22" t="s">
        <v>246</v>
      </c>
    </row>
    <row r="413" spans="1:11" x14ac:dyDescent="0.25">
      <c r="A413" s="22" t="s">
        <v>1475</v>
      </c>
      <c r="B413" s="22" t="s">
        <v>1476</v>
      </c>
      <c r="C413" s="22">
        <v>299</v>
      </c>
      <c r="D413" s="22" t="s">
        <v>255</v>
      </c>
      <c r="E413" s="22">
        <v>3</v>
      </c>
      <c r="F413" s="22">
        <v>230</v>
      </c>
      <c r="G413" s="22" t="s">
        <v>1477</v>
      </c>
      <c r="H413" s="22" t="s">
        <v>257</v>
      </c>
      <c r="I413" s="34">
        <v>45984</v>
      </c>
      <c r="J413" s="34">
        <v>45980</v>
      </c>
      <c r="K413" s="22" t="s">
        <v>245</v>
      </c>
    </row>
    <row r="414" spans="1:11" x14ac:dyDescent="0.25">
      <c r="A414" s="22" t="s">
        <v>1478</v>
      </c>
      <c r="B414" s="22" t="s">
        <v>1479</v>
      </c>
      <c r="C414" s="22">
        <v>312</v>
      </c>
      <c r="D414" s="22" t="s">
        <v>260</v>
      </c>
      <c r="E414" s="22">
        <v>4</v>
      </c>
      <c r="F414" s="22">
        <v>240</v>
      </c>
      <c r="G414" s="22" t="s">
        <v>1480</v>
      </c>
      <c r="H414" s="22" t="s">
        <v>262</v>
      </c>
      <c r="I414" s="34">
        <v>45983</v>
      </c>
      <c r="J414" s="34">
        <v>45979</v>
      </c>
      <c r="K414" s="22" t="s">
        <v>244</v>
      </c>
    </row>
    <row r="415" spans="1:11" x14ac:dyDescent="0.25">
      <c r="A415" s="22" t="s">
        <v>1481</v>
      </c>
      <c r="B415" s="22" t="s">
        <v>1482</v>
      </c>
      <c r="C415" s="22">
        <v>325</v>
      </c>
      <c r="D415" s="22" t="s">
        <v>265</v>
      </c>
      <c r="E415" s="22">
        <v>5</v>
      </c>
      <c r="F415" s="22">
        <v>250</v>
      </c>
      <c r="G415" s="22" t="s">
        <v>1483</v>
      </c>
      <c r="H415" s="22" t="s">
        <v>267</v>
      </c>
      <c r="I415" s="34">
        <v>45982</v>
      </c>
      <c r="J415" s="34">
        <v>45978</v>
      </c>
      <c r="K415" s="22" t="s">
        <v>243</v>
      </c>
    </row>
    <row r="416" spans="1:11" x14ac:dyDescent="0.25">
      <c r="A416" s="22" t="s">
        <v>1484</v>
      </c>
      <c r="B416" s="22" t="s">
        <v>1485</v>
      </c>
      <c r="C416" s="22">
        <v>338</v>
      </c>
      <c r="D416" s="22" t="s">
        <v>270</v>
      </c>
      <c r="E416" s="22">
        <v>1</v>
      </c>
      <c r="F416" s="22">
        <v>260</v>
      </c>
      <c r="G416" s="22" t="s">
        <v>1486</v>
      </c>
      <c r="H416" s="22" t="s">
        <v>272</v>
      </c>
      <c r="I416" s="34">
        <v>45981</v>
      </c>
      <c r="J416" s="34">
        <v>45977</v>
      </c>
      <c r="K416" s="22" t="s">
        <v>247</v>
      </c>
    </row>
    <row r="417" spans="1:11" x14ac:dyDescent="0.25">
      <c r="A417" s="22" t="s">
        <v>1487</v>
      </c>
      <c r="B417" s="22" t="s">
        <v>1488</v>
      </c>
      <c r="C417" s="22">
        <v>351</v>
      </c>
      <c r="D417" s="22" t="s">
        <v>250</v>
      </c>
      <c r="E417" s="22">
        <v>2</v>
      </c>
      <c r="F417" s="22">
        <v>270</v>
      </c>
      <c r="G417" s="22" t="s">
        <v>1489</v>
      </c>
      <c r="H417" s="22" t="s">
        <v>252</v>
      </c>
      <c r="I417" s="34">
        <v>45980</v>
      </c>
      <c r="J417" s="34">
        <v>45976</v>
      </c>
      <c r="K417" s="22" t="s">
        <v>246</v>
      </c>
    </row>
    <row r="418" spans="1:11" x14ac:dyDescent="0.25">
      <c r="A418" s="22" t="s">
        <v>1490</v>
      </c>
      <c r="B418" s="22" t="s">
        <v>1491</v>
      </c>
      <c r="C418" s="22">
        <v>364</v>
      </c>
      <c r="D418" s="22" t="s">
        <v>255</v>
      </c>
      <c r="E418" s="22">
        <v>3</v>
      </c>
      <c r="F418" s="22">
        <v>280</v>
      </c>
      <c r="G418" s="22" t="s">
        <v>1492</v>
      </c>
      <c r="H418" s="22" t="s">
        <v>257</v>
      </c>
      <c r="I418" s="34">
        <v>45979</v>
      </c>
      <c r="J418" s="34">
        <v>45975</v>
      </c>
      <c r="K418" s="22" t="s">
        <v>245</v>
      </c>
    </row>
    <row r="419" spans="1:11" x14ac:dyDescent="0.25">
      <c r="A419" s="22" t="s">
        <v>1493</v>
      </c>
      <c r="B419" s="22" t="s">
        <v>1494</v>
      </c>
      <c r="C419" s="22">
        <v>377</v>
      </c>
      <c r="D419" s="22" t="s">
        <v>260</v>
      </c>
      <c r="E419" s="22">
        <v>4</v>
      </c>
      <c r="F419" s="22">
        <v>290</v>
      </c>
      <c r="G419" s="22" t="s">
        <v>1495</v>
      </c>
      <c r="H419" s="22" t="s">
        <v>262</v>
      </c>
      <c r="I419" s="34">
        <v>45978</v>
      </c>
      <c r="J419" s="34">
        <v>45974</v>
      </c>
      <c r="K419" s="22" t="s">
        <v>244</v>
      </c>
    </row>
    <row r="420" spans="1:11" x14ac:dyDescent="0.25">
      <c r="A420" s="22" t="s">
        <v>1496</v>
      </c>
      <c r="B420" s="22" t="s">
        <v>1497</v>
      </c>
      <c r="C420" s="22">
        <v>390</v>
      </c>
      <c r="D420" s="22" t="s">
        <v>265</v>
      </c>
      <c r="E420" s="22">
        <v>5</v>
      </c>
      <c r="F420" s="22">
        <v>300</v>
      </c>
      <c r="G420" s="22" t="s">
        <v>1498</v>
      </c>
      <c r="H420" s="22" t="s">
        <v>267</v>
      </c>
      <c r="I420" s="34">
        <v>45977</v>
      </c>
      <c r="J420" s="34">
        <v>45973</v>
      </c>
      <c r="K420" s="22" t="s">
        <v>243</v>
      </c>
    </row>
    <row r="421" spans="1:11" x14ac:dyDescent="0.25">
      <c r="A421" s="22" t="s">
        <v>1499</v>
      </c>
      <c r="B421" s="22" t="s">
        <v>1500</v>
      </c>
      <c r="C421" s="22">
        <v>403</v>
      </c>
      <c r="D421" s="22" t="s">
        <v>270</v>
      </c>
      <c r="E421" s="22">
        <v>1</v>
      </c>
      <c r="F421" s="22">
        <v>310</v>
      </c>
      <c r="G421" s="22" t="s">
        <v>1501</v>
      </c>
      <c r="H421" s="22" t="s">
        <v>272</v>
      </c>
      <c r="I421" s="34">
        <v>45976</v>
      </c>
      <c r="J421" s="34">
        <v>45972</v>
      </c>
      <c r="K421" s="22" t="s">
        <v>247</v>
      </c>
    </row>
    <row r="422" spans="1:11" x14ac:dyDescent="0.25">
      <c r="A422" s="22" t="s">
        <v>1502</v>
      </c>
      <c r="B422" s="22" t="s">
        <v>1503</v>
      </c>
      <c r="C422" s="22">
        <v>416</v>
      </c>
      <c r="D422" s="22" t="s">
        <v>250</v>
      </c>
      <c r="E422" s="22">
        <v>2</v>
      </c>
      <c r="F422" s="22">
        <v>320</v>
      </c>
      <c r="G422" s="22" t="s">
        <v>1504</v>
      </c>
      <c r="H422" s="22" t="s">
        <v>252</v>
      </c>
      <c r="I422" s="34">
        <v>45975</v>
      </c>
      <c r="J422" s="34">
        <v>45971</v>
      </c>
      <c r="K422" s="22" t="s">
        <v>246</v>
      </c>
    </row>
    <row r="423" spans="1:11" x14ac:dyDescent="0.25">
      <c r="A423" s="22" t="s">
        <v>1505</v>
      </c>
      <c r="B423" s="22" t="s">
        <v>1506</v>
      </c>
      <c r="C423" s="22">
        <v>429</v>
      </c>
      <c r="D423" s="22" t="s">
        <v>255</v>
      </c>
      <c r="E423" s="22">
        <v>3</v>
      </c>
      <c r="F423" s="22">
        <v>330</v>
      </c>
      <c r="G423" s="22" t="s">
        <v>1507</v>
      </c>
      <c r="H423" s="22" t="s">
        <v>257</v>
      </c>
      <c r="I423" s="34">
        <v>45974</v>
      </c>
      <c r="J423" s="34">
        <v>45970</v>
      </c>
      <c r="K423" s="22" t="s">
        <v>245</v>
      </c>
    </row>
    <row r="424" spans="1:11" x14ac:dyDescent="0.25">
      <c r="A424" s="22" t="s">
        <v>1508</v>
      </c>
      <c r="B424" s="22" t="s">
        <v>1509</v>
      </c>
      <c r="C424" s="22">
        <v>442</v>
      </c>
      <c r="D424" s="22" t="s">
        <v>260</v>
      </c>
      <c r="E424" s="22">
        <v>4</v>
      </c>
      <c r="F424" s="22">
        <v>340</v>
      </c>
      <c r="G424" s="22" t="s">
        <v>1510</v>
      </c>
      <c r="H424" s="22" t="s">
        <v>262</v>
      </c>
      <c r="I424" s="34">
        <v>45973</v>
      </c>
      <c r="J424" s="34">
        <v>45969</v>
      </c>
      <c r="K424" s="22" t="s">
        <v>244</v>
      </c>
    </row>
    <row r="425" spans="1:11" x14ac:dyDescent="0.25">
      <c r="A425" s="22" t="s">
        <v>1511</v>
      </c>
      <c r="B425" s="22" t="s">
        <v>1512</v>
      </c>
      <c r="C425" s="22">
        <v>455</v>
      </c>
      <c r="D425" s="22" t="s">
        <v>265</v>
      </c>
      <c r="E425" s="22">
        <v>5</v>
      </c>
      <c r="F425" s="22">
        <v>350</v>
      </c>
      <c r="G425" s="22" t="s">
        <v>1513</v>
      </c>
      <c r="H425" s="22" t="s">
        <v>267</v>
      </c>
      <c r="I425" s="34">
        <v>45972</v>
      </c>
      <c r="J425" s="34">
        <v>45968</v>
      </c>
      <c r="K425" s="22" t="s">
        <v>243</v>
      </c>
    </row>
    <row r="426" spans="1:11" x14ac:dyDescent="0.25">
      <c r="A426" s="22" t="s">
        <v>1514</v>
      </c>
      <c r="B426" s="22" t="s">
        <v>1515</v>
      </c>
      <c r="C426" s="22">
        <v>468</v>
      </c>
      <c r="D426" s="22" t="s">
        <v>270</v>
      </c>
      <c r="E426" s="22">
        <v>1</v>
      </c>
      <c r="F426" s="22">
        <v>360</v>
      </c>
      <c r="G426" s="22" t="s">
        <v>1516</v>
      </c>
      <c r="H426" s="22" t="s">
        <v>272</v>
      </c>
      <c r="I426" s="34">
        <v>45971</v>
      </c>
      <c r="J426" s="34">
        <v>45967</v>
      </c>
      <c r="K426" s="22" t="s">
        <v>247</v>
      </c>
    </row>
    <row r="427" spans="1:11" x14ac:dyDescent="0.25">
      <c r="A427" s="22" t="s">
        <v>1517</v>
      </c>
      <c r="B427" s="22" t="s">
        <v>1518</v>
      </c>
      <c r="C427" s="22">
        <v>481</v>
      </c>
      <c r="D427" s="22" t="s">
        <v>250</v>
      </c>
      <c r="E427" s="22">
        <v>2</v>
      </c>
      <c r="F427" s="22">
        <v>370</v>
      </c>
      <c r="G427" s="22" t="s">
        <v>1519</v>
      </c>
      <c r="H427" s="22" t="s">
        <v>252</v>
      </c>
      <c r="I427" s="34">
        <v>45970</v>
      </c>
      <c r="J427" s="34">
        <v>45966</v>
      </c>
      <c r="K427" s="22" t="s">
        <v>246</v>
      </c>
    </row>
    <row r="428" spans="1:11" x14ac:dyDescent="0.25">
      <c r="A428" s="22" t="s">
        <v>1520</v>
      </c>
      <c r="B428" s="22" t="s">
        <v>1521</v>
      </c>
      <c r="C428" s="22">
        <v>494</v>
      </c>
      <c r="D428" s="22" t="s">
        <v>255</v>
      </c>
      <c r="E428" s="22">
        <v>3</v>
      </c>
      <c r="F428" s="22">
        <v>380</v>
      </c>
      <c r="G428" s="22" t="s">
        <v>1522</v>
      </c>
      <c r="H428" s="22" t="s">
        <v>257</v>
      </c>
      <c r="I428" s="34">
        <v>45969</v>
      </c>
      <c r="J428" s="34">
        <v>45965</v>
      </c>
      <c r="K428" s="22" t="s">
        <v>245</v>
      </c>
    </row>
    <row r="429" spans="1:11" x14ac:dyDescent="0.25">
      <c r="A429" s="22" t="s">
        <v>1523</v>
      </c>
      <c r="B429" s="22" t="s">
        <v>1524</v>
      </c>
      <c r="C429" s="22">
        <v>507</v>
      </c>
      <c r="D429" s="22" t="s">
        <v>260</v>
      </c>
      <c r="E429" s="22">
        <v>4</v>
      </c>
      <c r="F429" s="22">
        <v>390</v>
      </c>
      <c r="G429" s="22" t="s">
        <v>1525</v>
      </c>
      <c r="H429" s="22" t="s">
        <v>262</v>
      </c>
      <c r="I429" s="34">
        <v>45968</v>
      </c>
      <c r="J429" s="34">
        <v>45964</v>
      </c>
      <c r="K429" s="22" t="s">
        <v>244</v>
      </c>
    </row>
    <row r="430" spans="1:11" x14ac:dyDescent="0.25">
      <c r="A430" s="22" t="s">
        <v>1526</v>
      </c>
      <c r="B430" s="22" t="s">
        <v>1527</v>
      </c>
      <c r="C430" s="22">
        <v>520</v>
      </c>
      <c r="D430" s="22" t="s">
        <v>265</v>
      </c>
      <c r="E430" s="22">
        <v>5</v>
      </c>
      <c r="F430" s="22">
        <v>400</v>
      </c>
      <c r="G430" s="22" t="s">
        <v>1528</v>
      </c>
      <c r="H430" s="22" t="s">
        <v>267</v>
      </c>
      <c r="I430" s="34">
        <v>45967</v>
      </c>
      <c r="J430" s="34">
        <v>45963</v>
      </c>
      <c r="K430" s="22" t="s">
        <v>243</v>
      </c>
    </row>
    <row r="431" spans="1:11" x14ac:dyDescent="0.25">
      <c r="A431" s="22" t="s">
        <v>1529</v>
      </c>
      <c r="B431" s="22" t="s">
        <v>1530</v>
      </c>
      <c r="C431" s="22">
        <v>533</v>
      </c>
      <c r="D431" s="22" t="s">
        <v>270</v>
      </c>
      <c r="E431" s="22">
        <v>1</v>
      </c>
      <c r="F431" s="22">
        <v>410</v>
      </c>
      <c r="G431" s="22" t="s">
        <v>1531</v>
      </c>
      <c r="H431" s="22" t="s">
        <v>272</v>
      </c>
      <c r="I431" s="34">
        <v>45966</v>
      </c>
      <c r="J431" s="34">
        <v>45962</v>
      </c>
      <c r="K431" s="22" t="s">
        <v>247</v>
      </c>
    </row>
    <row r="432" spans="1:11" x14ac:dyDescent="0.25">
      <c r="A432" s="22" t="s">
        <v>1532</v>
      </c>
      <c r="B432" s="22" t="s">
        <v>1533</v>
      </c>
      <c r="C432" s="22">
        <v>546</v>
      </c>
      <c r="D432" s="22" t="s">
        <v>250</v>
      </c>
      <c r="E432" s="22">
        <v>2</v>
      </c>
      <c r="F432" s="22">
        <v>420</v>
      </c>
      <c r="G432" s="22" t="s">
        <v>1534</v>
      </c>
      <c r="H432" s="22" t="s">
        <v>252</v>
      </c>
      <c r="I432" s="34">
        <v>45965</v>
      </c>
      <c r="J432" s="34">
        <v>45961</v>
      </c>
      <c r="K432" s="22" t="s">
        <v>246</v>
      </c>
    </row>
    <row r="433" spans="1:11" x14ac:dyDescent="0.25">
      <c r="A433" s="22" t="s">
        <v>1535</v>
      </c>
      <c r="B433" s="22" t="s">
        <v>1536</v>
      </c>
      <c r="C433" s="22">
        <v>559</v>
      </c>
      <c r="D433" s="22" t="s">
        <v>255</v>
      </c>
      <c r="E433" s="22">
        <v>3</v>
      </c>
      <c r="F433" s="22">
        <v>430</v>
      </c>
      <c r="G433" s="22" t="s">
        <v>1537</v>
      </c>
      <c r="H433" s="22" t="s">
        <v>257</v>
      </c>
      <c r="I433" s="34">
        <v>45964</v>
      </c>
      <c r="J433" s="34">
        <v>45960</v>
      </c>
      <c r="K433" s="22" t="s">
        <v>245</v>
      </c>
    </row>
    <row r="434" spans="1:11" x14ac:dyDescent="0.25">
      <c r="A434" s="22" t="s">
        <v>1538</v>
      </c>
      <c r="B434" s="22" t="s">
        <v>1539</v>
      </c>
      <c r="C434" s="22">
        <v>572</v>
      </c>
      <c r="D434" s="22" t="s">
        <v>260</v>
      </c>
      <c r="E434" s="22">
        <v>4</v>
      </c>
      <c r="F434" s="22">
        <v>440</v>
      </c>
      <c r="G434" s="22" t="s">
        <v>1540</v>
      </c>
      <c r="H434" s="22" t="s">
        <v>262</v>
      </c>
      <c r="I434" s="34">
        <v>45963</v>
      </c>
      <c r="J434" s="34">
        <v>45959</v>
      </c>
      <c r="K434" s="22" t="s">
        <v>244</v>
      </c>
    </row>
    <row r="435" spans="1:11" x14ac:dyDescent="0.25">
      <c r="A435" s="22" t="s">
        <v>1541</v>
      </c>
      <c r="B435" s="22" t="s">
        <v>1542</v>
      </c>
      <c r="C435" s="22">
        <v>585</v>
      </c>
      <c r="D435" s="22" t="s">
        <v>265</v>
      </c>
      <c r="E435" s="22">
        <v>5</v>
      </c>
      <c r="F435" s="22">
        <v>450</v>
      </c>
      <c r="G435" s="22" t="s">
        <v>1543</v>
      </c>
      <c r="H435" s="22" t="s">
        <v>267</v>
      </c>
      <c r="I435" s="34">
        <v>45962</v>
      </c>
      <c r="J435" s="34">
        <v>45958</v>
      </c>
      <c r="K435" s="22" t="s">
        <v>243</v>
      </c>
    </row>
    <row r="436" spans="1:11" x14ac:dyDescent="0.25">
      <c r="A436" s="22" t="s">
        <v>1544</v>
      </c>
      <c r="B436" s="22" t="s">
        <v>1545</v>
      </c>
      <c r="C436" s="22">
        <v>598</v>
      </c>
      <c r="D436" s="22" t="s">
        <v>270</v>
      </c>
      <c r="E436" s="22">
        <v>1</v>
      </c>
      <c r="F436" s="22">
        <v>460</v>
      </c>
      <c r="G436" s="22" t="s">
        <v>1546</v>
      </c>
      <c r="H436" s="22" t="s">
        <v>272</v>
      </c>
      <c r="I436" s="34">
        <v>45961</v>
      </c>
      <c r="J436" s="34">
        <v>45957</v>
      </c>
      <c r="K436" s="22" t="s">
        <v>247</v>
      </c>
    </row>
    <row r="437" spans="1:11" x14ac:dyDescent="0.25">
      <c r="A437" s="22" t="s">
        <v>1547</v>
      </c>
      <c r="B437" s="22" t="s">
        <v>1548</v>
      </c>
      <c r="C437" s="22">
        <v>611</v>
      </c>
      <c r="D437" s="22" t="s">
        <v>250</v>
      </c>
      <c r="E437" s="22">
        <v>2</v>
      </c>
      <c r="F437" s="22">
        <v>470</v>
      </c>
      <c r="G437" s="22" t="s">
        <v>1549</v>
      </c>
      <c r="H437" s="22" t="s">
        <v>252</v>
      </c>
      <c r="I437" s="34">
        <v>45960</v>
      </c>
      <c r="J437" s="34">
        <v>45956</v>
      </c>
      <c r="K437" s="22" t="s">
        <v>246</v>
      </c>
    </row>
    <row r="438" spans="1:11" x14ac:dyDescent="0.25">
      <c r="A438" s="22" t="s">
        <v>1550</v>
      </c>
      <c r="B438" s="22" t="s">
        <v>1551</v>
      </c>
      <c r="C438" s="22">
        <v>624</v>
      </c>
      <c r="D438" s="22" t="s">
        <v>255</v>
      </c>
      <c r="E438" s="22">
        <v>3</v>
      </c>
      <c r="F438" s="22">
        <v>480</v>
      </c>
      <c r="G438" s="22" t="s">
        <v>1552</v>
      </c>
      <c r="H438" s="22" t="s">
        <v>257</v>
      </c>
      <c r="I438" s="34">
        <v>45959</v>
      </c>
      <c r="J438" s="34">
        <v>45955</v>
      </c>
      <c r="K438" s="22" t="s">
        <v>245</v>
      </c>
    </row>
    <row r="439" spans="1:11" x14ac:dyDescent="0.25">
      <c r="A439" s="22" t="s">
        <v>1553</v>
      </c>
      <c r="B439" s="22" t="s">
        <v>1554</v>
      </c>
      <c r="C439" s="22">
        <v>637</v>
      </c>
      <c r="D439" s="22" t="s">
        <v>260</v>
      </c>
      <c r="E439" s="22">
        <v>4</v>
      </c>
      <c r="F439" s="22">
        <v>490</v>
      </c>
      <c r="G439" s="22" t="s">
        <v>1555</v>
      </c>
      <c r="H439" s="22" t="s">
        <v>262</v>
      </c>
      <c r="I439" s="34">
        <v>45958</v>
      </c>
      <c r="J439" s="34">
        <v>45954</v>
      </c>
      <c r="K439" s="22" t="s">
        <v>244</v>
      </c>
    </row>
    <row r="440" spans="1:11" x14ac:dyDescent="0.25">
      <c r="A440" s="22" t="s">
        <v>1556</v>
      </c>
      <c r="B440" s="22" t="s">
        <v>242</v>
      </c>
      <c r="C440" s="22">
        <v>650</v>
      </c>
      <c r="D440" s="22" t="s">
        <v>265</v>
      </c>
      <c r="E440" s="22">
        <v>5</v>
      </c>
      <c r="F440" s="22">
        <v>500</v>
      </c>
      <c r="G440" s="22" t="s">
        <v>1557</v>
      </c>
      <c r="H440" s="22" t="s">
        <v>267</v>
      </c>
      <c r="I440" s="34">
        <v>45957</v>
      </c>
      <c r="J440" s="34">
        <v>45953</v>
      </c>
      <c r="K440" s="22" t="s">
        <v>243</v>
      </c>
    </row>
    <row r="441" spans="1:11" x14ac:dyDescent="0.25">
      <c r="A441" s="22" t="s">
        <v>1558</v>
      </c>
      <c r="B441" s="22" t="s">
        <v>1559</v>
      </c>
      <c r="C441" s="22">
        <v>663</v>
      </c>
      <c r="D441" s="22" t="s">
        <v>270</v>
      </c>
      <c r="E441" s="22">
        <v>1</v>
      </c>
      <c r="F441" s="22">
        <v>510</v>
      </c>
      <c r="G441" s="22" t="s">
        <v>1560</v>
      </c>
      <c r="H441" s="22" t="s">
        <v>272</v>
      </c>
      <c r="I441" s="34">
        <v>45956</v>
      </c>
      <c r="J441" s="34">
        <v>45952</v>
      </c>
      <c r="K441" s="22" t="s">
        <v>247</v>
      </c>
    </row>
    <row r="442" spans="1:11" x14ac:dyDescent="0.25">
      <c r="A442" s="22" t="s">
        <v>1561</v>
      </c>
      <c r="B442" s="22" t="s">
        <v>1562</v>
      </c>
      <c r="C442" s="22">
        <v>676</v>
      </c>
      <c r="D442" s="22" t="s">
        <v>250</v>
      </c>
      <c r="E442" s="22">
        <v>2</v>
      </c>
      <c r="F442" s="22">
        <v>520</v>
      </c>
      <c r="G442" s="22" t="s">
        <v>1563</v>
      </c>
      <c r="H442" s="22" t="s">
        <v>252</v>
      </c>
      <c r="I442" s="34">
        <v>45955</v>
      </c>
      <c r="J442" s="34">
        <v>45951</v>
      </c>
      <c r="K442" s="22" t="s">
        <v>246</v>
      </c>
    </row>
    <row r="443" spans="1:11" x14ac:dyDescent="0.25">
      <c r="A443" s="22" t="s">
        <v>1564</v>
      </c>
      <c r="B443" s="22" t="s">
        <v>1565</v>
      </c>
      <c r="C443" s="22">
        <v>689</v>
      </c>
      <c r="D443" s="22" t="s">
        <v>255</v>
      </c>
      <c r="E443" s="22">
        <v>3</v>
      </c>
      <c r="F443" s="22">
        <v>530</v>
      </c>
      <c r="G443" s="22" t="s">
        <v>1566</v>
      </c>
      <c r="H443" s="22" t="s">
        <v>257</v>
      </c>
      <c r="I443" s="34">
        <v>45954</v>
      </c>
      <c r="J443" s="34">
        <v>45950</v>
      </c>
      <c r="K443" s="22" t="s">
        <v>245</v>
      </c>
    </row>
    <row r="444" spans="1:11" x14ac:dyDescent="0.25">
      <c r="A444" s="22" t="s">
        <v>1567</v>
      </c>
      <c r="B444" s="22" t="s">
        <v>1568</v>
      </c>
      <c r="C444" s="22">
        <v>702</v>
      </c>
      <c r="D444" s="22" t="s">
        <v>260</v>
      </c>
      <c r="E444" s="22">
        <v>4</v>
      </c>
      <c r="F444" s="22">
        <v>540</v>
      </c>
      <c r="G444" s="22" t="s">
        <v>1569</v>
      </c>
      <c r="H444" s="22" t="s">
        <v>262</v>
      </c>
      <c r="I444" s="34">
        <v>45953</v>
      </c>
      <c r="J444" s="34">
        <v>45949</v>
      </c>
      <c r="K444" s="22" t="s">
        <v>244</v>
      </c>
    </row>
    <row r="445" spans="1:11" x14ac:dyDescent="0.25">
      <c r="A445" s="22" t="s">
        <v>1570</v>
      </c>
      <c r="B445" s="22" t="s">
        <v>231</v>
      </c>
      <c r="C445" s="22">
        <v>715</v>
      </c>
      <c r="D445" s="22" t="s">
        <v>265</v>
      </c>
      <c r="E445" s="22">
        <v>5</v>
      </c>
      <c r="F445" s="22">
        <v>550</v>
      </c>
      <c r="G445" s="22" t="s">
        <v>1571</v>
      </c>
      <c r="H445" s="22" t="s">
        <v>267</v>
      </c>
      <c r="I445" s="34">
        <v>45952</v>
      </c>
      <c r="J445" s="34">
        <v>45948</v>
      </c>
      <c r="K445" s="22" t="s">
        <v>243</v>
      </c>
    </row>
    <row r="446" spans="1:11" x14ac:dyDescent="0.25">
      <c r="A446" s="22" t="s">
        <v>1572</v>
      </c>
      <c r="B446" s="22" t="s">
        <v>1573</v>
      </c>
      <c r="C446" s="22">
        <v>728</v>
      </c>
      <c r="D446" s="22" t="s">
        <v>270</v>
      </c>
      <c r="E446" s="22">
        <v>1</v>
      </c>
      <c r="F446" s="22">
        <v>560</v>
      </c>
      <c r="G446" s="22" t="s">
        <v>1574</v>
      </c>
      <c r="H446" s="22" t="s">
        <v>272</v>
      </c>
      <c r="I446" s="34">
        <v>45951</v>
      </c>
      <c r="J446" s="34">
        <v>45947</v>
      </c>
      <c r="K446" s="22" t="s">
        <v>247</v>
      </c>
    </row>
    <row r="447" spans="1:11" x14ac:dyDescent="0.25">
      <c r="A447" s="22" t="s">
        <v>1575</v>
      </c>
      <c r="B447" s="22" t="s">
        <v>1576</v>
      </c>
      <c r="C447" s="22">
        <v>741</v>
      </c>
      <c r="D447" s="22" t="s">
        <v>250</v>
      </c>
      <c r="E447" s="22">
        <v>2</v>
      </c>
      <c r="F447" s="22">
        <v>570</v>
      </c>
      <c r="G447" s="22" t="s">
        <v>1577</v>
      </c>
      <c r="H447" s="22" t="s">
        <v>252</v>
      </c>
      <c r="I447" s="34">
        <v>45950</v>
      </c>
      <c r="J447" s="34">
        <v>45946</v>
      </c>
      <c r="K447" s="22" t="s">
        <v>246</v>
      </c>
    </row>
    <row r="448" spans="1:11" x14ac:dyDescent="0.25">
      <c r="A448" s="22" t="s">
        <v>1578</v>
      </c>
      <c r="B448" s="22" t="s">
        <v>1579</v>
      </c>
      <c r="C448" s="22">
        <v>754</v>
      </c>
      <c r="D448" s="22" t="s">
        <v>255</v>
      </c>
      <c r="E448" s="22">
        <v>3</v>
      </c>
      <c r="F448" s="22">
        <v>580</v>
      </c>
      <c r="G448" s="22" t="s">
        <v>1580</v>
      </c>
      <c r="H448" s="22" t="s">
        <v>257</v>
      </c>
      <c r="I448" s="34">
        <v>45949</v>
      </c>
      <c r="J448" s="34">
        <v>45945</v>
      </c>
      <c r="K448" s="22" t="s">
        <v>245</v>
      </c>
    </row>
    <row r="449" spans="1:11" x14ac:dyDescent="0.25">
      <c r="A449" s="22" t="s">
        <v>1581</v>
      </c>
      <c r="B449" s="22" t="s">
        <v>1582</v>
      </c>
      <c r="C449" s="22">
        <v>767</v>
      </c>
      <c r="D449" s="22" t="s">
        <v>260</v>
      </c>
      <c r="E449" s="22">
        <v>4</v>
      </c>
      <c r="F449" s="22">
        <v>590</v>
      </c>
      <c r="G449" s="22" t="s">
        <v>1583</v>
      </c>
      <c r="H449" s="22" t="s">
        <v>262</v>
      </c>
      <c r="I449" s="34">
        <v>45948</v>
      </c>
      <c r="J449" s="34">
        <v>45944</v>
      </c>
      <c r="K449" s="22" t="s">
        <v>244</v>
      </c>
    </row>
    <row r="450" spans="1:11" x14ac:dyDescent="0.25">
      <c r="A450" s="22" t="s">
        <v>1584</v>
      </c>
      <c r="B450" s="22" t="s">
        <v>1585</v>
      </c>
      <c r="C450" s="22">
        <v>130</v>
      </c>
      <c r="D450" s="22" t="s">
        <v>265</v>
      </c>
      <c r="E450" s="22">
        <v>5</v>
      </c>
      <c r="F450" s="22">
        <v>100</v>
      </c>
      <c r="G450" s="22" t="s">
        <v>1586</v>
      </c>
      <c r="H450" s="22" t="s">
        <v>267</v>
      </c>
      <c r="I450" s="34">
        <v>45947</v>
      </c>
      <c r="J450" s="34">
        <v>45943</v>
      </c>
      <c r="K450" s="22" t="s">
        <v>243</v>
      </c>
    </row>
    <row r="451" spans="1:11" x14ac:dyDescent="0.25">
      <c r="A451" s="22" t="s">
        <v>1587</v>
      </c>
      <c r="B451" s="22" t="s">
        <v>1588</v>
      </c>
      <c r="C451" s="22">
        <v>143</v>
      </c>
      <c r="D451" s="22" t="s">
        <v>270</v>
      </c>
      <c r="E451" s="22">
        <v>1</v>
      </c>
      <c r="F451" s="22">
        <v>110</v>
      </c>
      <c r="G451" s="22" t="s">
        <v>1589</v>
      </c>
      <c r="H451" s="22" t="s">
        <v>272</v>
      </c>
      <c r="I451" s="34">
        <v>45946</v>
      </c>
      <c r="J451" s="34">
        <v>45942</v>
      </c>
      <c r="K451" s="22" t="s">
        <v>247</v>
      </c>
    </row>
    <row r="452" spans="1:11" x14ac:dyDescent="0.25">
      <c r="A452" s="22" t="s">
        <v>1590</v>
      </c>
      <c r="B452" s="22" t="s">
        <v>1591</v>
      </c>
      <c r="C452" s="22">
        <v>156</v>
      </c>
      <c r="D452" s="22" t="s">
        <v>250</v>
      </c>
      <c r="E452" s="22">
        <v>2</v>
      </c>
      <c r="F452" s="22">
        <v>120</v>
      </c>
      <c r="G452" s="22" t="s">
        <v>1592</v>
      </c>
      <c r="H452" s="22" t="s">
        <v>252</v>
      </c>
      <c r="I452" s="34">
        <v>45945</v>
      </c>
      <c r="J452" s="34">
        <v>45941</v>
      </c>
      <c r="K452" s="22" t="s">
        <v>246</v>
      </c>
    </row>
    <row r="453" spans="1:11" x14ac:dyDescent="0.25">
      <c r="A453" s="22" t="s">
        <v>1593</v>
      </c>
      <c r="B453" s="22" t="s">
        <v>1594</v>
      </c>
      <c r="C453" s="22">
        <v>169</v>
      </c>
      <c r="D453" s="22" t="s">
        <v>255</v>
      </c>
      <c r="E453" s="22">
        <v>3</v>
      </c>
      <c r="F453" s="22">
        <v>130</v>
      </c>
      <c r="G453" s="22" t="s">
        <v>1595</v>
      </c>
      <c r="H453" s="22" t="s">
        <v>257</v>
      </c>
      <c r="I453" s="34">
        <v>45944</v>
      </c>
      <c r="J453" s="34">
        <v>45940</v>
      </c>
      <c r="K453" s="22" t="s">
        <v>245</v>
      </c>
    </row>
    <row r="454" spans="1:11" x14ac:dyDescent="0.25">
      <c r="A454" s="22" t="s">
        <v>1596</v>
      </c>
      <c r="B454" s="22" t="s">
        <v>1597</v>
      </c>
      <c r="C454" s="22">
        <v>182</v>
      </c>
      <c r="D454" s="22" t="s">
        <v>260</v>
      </c>
      <c r="E454" s="22">
        <v>4</v>
      </c>
      <c r="F454" s="22">
        <v>140</v>
      </c>
      <c r="G454" s="22" t="s">
        <v>1598</v>
      </c>
      <c r="H454" s="22" t="s">
        <v>262</v>
      </c>
      <c r="I454" s="34">
        <v>45943</v>
      </c>
      <c r="J454" s="34">
        <v>45939</v>
      </c>
      <c r="K454" s="22" t="s">
        <v>244</v>
      </c>
    </row>
    <row r="455" spans="1:11" x14ac:dyDescent="0.25">
      <c r="A455" s="22" t="s">
        <v>1599</v>
      </c>
      <c r="B455" s="22" t="s">
        <v>1600</v>
      </c>
      <c r="C455" s="22">
        <v>195</v>
      </c>
      <c r="D455" s="22" t="s">
        <v>265</v>
      </c>
      <c r="E455" s="22">
        <v>5</v>
      </c>
      <c r="F455" s="22">
        <v>150</v>
      </c>
      <c r="G455" s="22" t="s">
        <v>1601</v>
      </c>
      <c r="H455" s="22" t="s">
        <v>267</v>
      </c>
      <c r="I455" s="34">
        <v>45942</v>
      </c>
      <c r="J455" s="34">
        <v>45938</v>
      </c>
      <c r="K455" s="22" t="s">
        <v>243</v>
      </c>
    </row>
    <row r="456" spans="1:11" x14ac:dyDescent="0.25">
      <c r="A456" s="22" t="s">
        <v>1602</v>
      </c>
      <c r="B456" s="22" t="s">
        <v>1603</v>
      </c>
      <c r="C456" s="22">
        <v>208</v>
      </c>
      <c r="D456" s="22" t="s">
        <v>270</v>
      </c>
      <c r="E456" s="22">
        <v>1</v>
      </c>
      <c r="F456" s="22">
        <v>160</v>
      </c>
      <c r="G456" s="22" t="s">
        <v>1604</v>
      </c>
      <c r="H456" s="22" t="s">
        <v>272</v>
      </c>
      <c r="I456" s="34">
        <v>45941</v>
      </c>
      <c r="J456" s="34">
        <v>45937</v>
      </c>
      <c r="K456" s="22" t="s">
        <v>247</v>
      </c>
    </row>
    <row r="457" spans="1:11" x14ac:dyDescent="0.25">
      <c r="A457" s="22" t="s">
        <v>1605</v>
      </c>
      <c r="B457" s="22" t="s">
        <v>1606</v>
      </c>
      <c r="C457" s="22">
        <v>221</v>
      </c>
      <c r="D457" s="22" t="s">
        <v>250</v>
      </c>
      <c r="E457" s="22">
        <v>2</v>
      </c>
      <c r="F457" s="22">
        <v>170</v>
      </c>
      <c r="G457" s="22" t="s">
        <v>1607</v>
      </c>
      <c r="H457" s="22" t="s">
        <v>252</v>
      </c>
      <c r="I457" s="34">
        <v>45940</v>
      </c>
      <c r="J457" s="34">
        <v>45936</v>
      </c>
      <c r="K457" s="22" t="s">
        <v>246</v>
      </c>
    </row>
    <row r="458" spans="1:11" x14ac:dyDescent="0.25">
      <c r="A458" s="22" t="s">
        <v>1608</v>
      </c>
      <c r="B458" s="22" t="s">
        <v>1609</v>
      </c>
      <c r="C458" s="22">
        <v>234</v>
      </c>
      <c r="D458" s="22" t="s">
        <v>255</v>
      </c>
      <c r="E458" s="22">
        <v>3</v>
      </c>
      <c r="F458" s="22">
        <v>180</v>
      </c>
      <c r="G458" s="22" t="s">
        <v>1610</v>
      </c>
      <c r="H458" s="22" t="s">
        <v>257</v>
      </c>
      <c r="I458" s="34">
        <v>45939</v>
      </c>
      <c r="J458" s="34">
        <v>45935</v>
      </c>
      <c r="K458" s="22" t="s">
        <v>245</v>
      </c>
    </row>
    <row r="459" spans="1:11" x14ac:dyDescent="0.25">
      <c r="A459" s="22" t="s">
        <v>1611</v>
      </c>
      <c r="B459" s="22" t="s">
        <v>1612</v>
      </c>
      <c r="C459" s="22">
        <v>247</v>
      </c>
      <c r="D459" s="22" t="s">
        <v>260</v>
      </c>
      <c r="E459" s="22">
        <v>4</v>
      </c>
      <c r="F459" s="22">
        <v>190</v>
      </c>
      <c r="G459" s="22" t="s">
        <v>1613</v>
      </c>
      <c r="H459" s="22" t="s">
        <v>262</v>
      </c>
      <c r="I459" s="34">
        <v>45938</v>
      </c>
      <c r="J459" s="34">
        <v>45934</v>
      </c>
      <c r="K459" s="22" t="s">
        <v>244</v>
      </c>
    </row>
    <row r="460" spans="1:11" x14ac:dyDescent="0.25">
      <c r="A460" s="22" t="s">
        <v>1614</v>
      </c>
      <c r="B460" s="22" t="s">
        <v>1615</v>
      </c>
      <c r="C460" s="22">
        <v>260</v>
      </c>
      <c r="D460" s="22" t="s">
        <v>265</v>
      </c>
      <c r="E460" s="22">
        <v>5</v>
      </c>
      <c r="F460" s="22">
        <v>200</v>
      </c>
      <c r="G460" s="22" t="s">
        <v>1616</v>
      </c>
      <c r="H460" s="22" t="s">
        <v>267</v>
      </c>
      <c r="I460" s="34">
        <v>45937</v>
      </c>
      <c r="J460" s="34">
        <v>45933</v>
      </c>
      <c r="K460" s="22" t="s">
        <v>243</v>
      </c>
    </row>
    <row r="461" spans="1:11" x14ac:dyDescent="0.25">
      <c r="A461" s="22" t="s">
        <v>1617</v>
      </c>
      <c r="B461" s="22" t="s">
        <v>1618</v>
      </c>
      <c r="C461" s="22">
        <v>273</v>
      </c>
      <c r="D461" s="22" t="s">
        <v>270</v>
      </c>
      <c r="E461" s="22">
        <v>1</v>
      </c>
      <c r="F461" s="22">
        <v>210</v>
      </c>
      <c r="G461" s="22" t="s">
        <v>1619</v>
      </c>
      <c r="H461" s="22" t="s">
        <v>272</v>
      </c>
      <c r="I461" s="34">
        <v>45936</v>
      </c>
      <c r="J461" s="34">
        <v>45932</v>
      </c>
      <c r="K461" s="22" t="s">
        <v>247</v>
      </c>
    </row>
    <row r="462" spans="1:11" x14ac:dyDescent="0.25">
      <c r="A462" s="22" t="s">
        <v>1620</v>
      </c>
      <c r="B462" s="22" t="s">
        <v>1621</v>
      </c>
      <c r="C462" s="22">
        <v>286</v>
      </c>
      <c r="D462" s="22" t="s">
        <v>250</v>
      </c>
      <c r="E462" s="22">
        <v>2</v>
      </c>
      <c r="F462" s="22">
        <v>220</v>
      </c>
      <c r="G462" s="22" t="s">
        <v>1622</v>
      </c>
      <c r="H462" s="22" t="s">
        <v>252</v>
      </c>
      <c r="I462" s="34">
        <v>45935</v>
      </c>
      <c r="J462" s="34">
        <v>45931</v>
      </c>
      <c r="K462" s="22" t="s">
        <v>246</v>
      </c>
    </row>
    <row r="463" spans="1:11" x14ac:dyDescent="0.25">
      <c r="A463" s="22" t="s">
        <v>1623</v>
      </c>
      <c r="B463" s="22" t="s">
        <v>1624</v>
      </c>
      <c r="C463" s="22">
        <v>299</v>
      </c>
      <c r="D463" s="22" t="s">
        <v>255</v>
      </c>
      <c r="E463" s="22">
        <v>3</v>
      </c>
      <c r="F463" s="22">
        <v>230</v>
      </c>
      <c r="G463" s="22" t="s">
        <v>1625</v>
      </c>
      <c r="H463" s="22" t="s">
        <v>257</v>
      </c>
      <c r="I463" s="34">
        <v>45934</v>
      </c>
      <c r="J463" s="34">
        <v>45930</v>
      </c>
      <c r="K463" s="22" t="s">
        <v>245</v>
      </c>
    </row>
    <row r="464" spans="1:11" x14ac:dyDescent="0.25">
      <c r="A464" s="22" t="s">
        <v>1626</v>
      </c>
      <c r="B464" s="22" t="s">
        <v>1627</v>
      </c>
      <c r="C464" s="22">
        <v>312</v>
      </c>
      <c r="D464" s="22" t="s">
        <v>260</v>
      </c>
      <c r="E464" s="22">
        <v>4</v>
      </c>
      <c r="F464" s="22">
        <v>240</v>
      </c>
      <c r="G464" s="22" t="s">
        <v>1628</v>
      </c>
      <c r="H464" s="22" t="s">
        <v>262</v>
      </c>
      <c r="I464" s="34">
        <v>45933</v>
      </c>
      <c r="J464" s="34">
        <v>45929</v>
      </c>
      <c r="K464" s="22" t="s">
        <v>244</v>
      </c>
    </row>
    <row r="465" spans="1:11" x14ac:dyDescent="0.25">
      <c r="A465" s="22" t="s">
        <v>1629</v>
      </c>
      <c r="B465" s="22" t="s">
        <v>1630</v>
      </c>
      <c r="C465" s="22">
        <v>325</v>
      </c>
      <c r="D465" s="22" t="s">
        <v>265</v>
      </c>
      <c r="E465" s="22">
        <v>5</v>
      </c>
      <c r="F465" s="22">
        <v>250</v>
      </c>
      <c r="G465" s="22" t="s">
        <v>1631</v>
      </c>
      <c r="H465" s="22" t="s">
        <v>267</v>
      </c>
      <c r="I465" s="34">
        <v>45932</v>
      </c>
      <c r="J465" s="34">
        <v>45928</v>
      </c>
      <c r="K465" s="22" t="s">
        <v>243</v>
      </c>
    </row>
    <row r="466" spans="1:11" x14ac:dyDescent="0.25">
      <c r="A466" s="22" t="s">
        <v>1632</v>
      </c>
      <c r="B466" s="22" t="s">
        <v>1633</v>
      </c>
      <c r="C466" s="22">
        <v>338</v>
      </c>
      <c r="D466" s="22" t="s">
        <v>270</v>
      </c>
      <c r="E466" s="22">
        <v>1</v>
      </c>
      <c r="F466" s="22">
        <v>260</v>
      </c>
      <c r="G466" s="22" t="s">
        <v>1634</v>
      </c>
      <c r="H466" s="22" t="s">
        <v>272</v>
      </c>
      <c r="I466" s="34">
        <v>45931</v>
      </c>
      <c r="J466" s="34">
        <v>45927</v>
      </c>
      <c r="K466" s="22" t="s">
        <v>247</v>
      </c>
    </row>
    <row r="467" spans="1:11" x14ac:dyDescent="0.25">
      <c r="A467" s="22" t="s">
        <v>1635</v>
      </c>
      <c r="B467" s="22" t="s">
        <v>1636</v>
      </c>
      <c r="C467" s="22">
        <v>351</v>
      </c>
      <c r="D467" s="22" t="s">
        <v>250</v>
      </c>
      <c r="E467" s="22">
        <v>2</v>
      </c>
      <c r="F467" s="22">
        <v>270</v>
      </c>
      <c r="G467" s="22" t="s">
        <v>1637</v>
      </c>
      <c r="H467" s="22" t="s">
        <v>252</v>
      </c>
      <c r="I467" s="34">
        <v>45930</v>
      </c>
      <c r="J467" s="34">
        <v>45926</v>
      </c>
      <c r="K467" s="22" t="s">
        <v>246</v>
      </c>
    </row>
    <row r="468" spans="1:11" x14ac:dyDescent="0.25">
      <c r="A468" s="22" t="s">
        <v>1638</v>
      </c>
      <c r="B468" s="22" t="s">
        <v>1639</v>
      </c>
      <c r="C468" s="22">
        <v>364</v>
      </c>
      <c r="D468" s="22" t="s">
        <v>255</v>
      </c>
      <c r="E468" s="22">
        <v>3</v>
      </c>
      <c r="F468" s="22">
        <v>280</v>
      </c>
      <c r="G468" s="22" t="s">
        <v>1640</v>
      </c>
      <c r="H468" s="22" t="s">
        <v>257</v>
      </c>
      <c r="I468" s="34">
        <v>45929</v>
      </c>
      <c r="J468" s="34">
        <v>45925</v>
      </c>
      <c r="K468" s="22" t="s">
        <v>245</v>
      </c>
    </row>
    <row r="469" spans="1:11" x14ac:dyDescent="0.25">
      <c r="A469" s="22" t="s">
        <v>1641</v>
      </c>
      <c r="B469" s="22" t="s">
        <v>1642</v>
      </c>
      <c r="C469" s="22">
        <v>377</v>
      </c>
      <c r="D469" s="22" t="s">
        <v>260</v>
      </c>
      <c r="E469" s="22">
        <v>4</v>
      </c>
      <c r="F469" s="22">
        <v>290</v>
      </c>
      <c r="G469" s="22" t="s">
        <v>1643</v>
      </c>
      <c r="H469" s="22" t="s">
        <v>262</v>
      </c>
      <c r="I469" s="34">
        <v>45928</v>
      </c>
      <c r="J469" s="34">
        <v>45924</v>
      </c>
      <c r="K469" s="22" t="s">
        <v>244</v>
      </c>
    </row>
    <row r="470" spans="1:11" x14ac:dyDescent="0.25">
      <c r="A470" s="22" t="s">
        <v>1644</v>
      </c>
      <c r="B470" s="22" t="s">
        <v>1645</v>
      </c>
      <c r="C470" s="22">
        <v>390</v>
      </c>
      <c r="D470" s="22" t="s">
        <v>265</v>
      </c>
      <c r="E470" s="22">
        <v>5</v>
      </c>
      <c r="F470" s="22">
        <v>300</v>
      </c>
      <c r="G470" s="22" t="s">
        <v>1646</v>
      </c>
      <c r="H470" s="22" t="s">
        <v>267</v>
      </c>
      <c r="I470" s="34">
        <v>45927</v>
      </c>
      <c r="J470" s="34">
        <v>45923</v>
      </c>
      <c r="K470" s="22" t="s">
        <v>243</v>
      </c>
    </row>
    <row r="471" spans="1:11" x14ac:dyDescent="0.25">
      <c r="A471" s="22" t="s">
        <v>1647</v>
      </c>
      <c r="B471" s="22" t="s">
        <v>1648</v>
      </c>
      <c r="C471" s="22">
        <v>403</v>
      </c>
      <c r="D471" s="22" t="s">
        <v>270</v>
      </c>
      <c r="E471" s="22">
        <v>1</v>
      </c>
      <c r="F471" s="22">
        <v>310</v>
      </c>
      <c r="G471" s="22" t="s">
        <v>1649</v>
      </c>
      <c r="H471" s="22" t="s">
        <v>272</v>
      </c>
      <c r="I471" s="34">
        <v>45926</v>
      </c>
      <c r="J471" s="34">
        <v>45922</v>
      </c>
      <c r="K471" s="22" t="s">
        <v>247</v>
      </c>
    </row>
    <row r="472" spans="1:11" x14ac:dyDescent="0.25">
      <c r="A472" s="22" t="s">
        <v>1650</v>
      </c>
      <c r="B472" s="22" t="s">
        <v>1651</v>
      </c>
      <c r="C472" s="22">
        <v>416</v>
      </c>
      <c r="D472" s="22" t="s">
        <v>250</v>
      </c>
      <c r="E472" s="22">
        <v>2</v>
      </c>
      <c r="F472" s="22">
        <v>320</v>
      </c>
      <c r="G472" s="22" t="s">
        <v>1652</v>
      </c>
      <c r="H472" s="22" t="s">
        <v>252</v>
      </c>
      <c r="I472" s="34">
        <v>45925</v>
      </c>
      <c r="J472" s="34">
        <v>45921</v>
      </c>
      <c r="K472" s="22" t="s">
        <v>246</v>
      </c>
    </row>
    <row r="473" spans="1:11" x14ac:dyDescent="0.25">
      <c r="A473" s="22" t="s">
        <v>1653</v>
      </c>
      <c r="B473" s="22" t="s">
        <v>1654</v>
      </c>
      <c r="C473" s="22">
        <v>429</v>
      </c>
      <c r="D473" s="22" t="s">
        <v>255</v>
      </c>
      <c r="E473" s="22">
        <v>3</v>
      </c>
      <c r="F473" s="22">
        <v>330</v>
      </c>
      <c r="G473" s="22" t="s">
        <v>1655</v>
      </c>
      <c r="H473" s="22" t="s">
        <v>257</v>
      </c>
      <c r="I473" s="34">
        <v>45924</v>
      </c>
      <c r="J473" s="34">
        <v>45920</v>
      </c>
      <c r="K473" s="22" t="s">
        <v>245</v>
      </c>
    </row>
    <row r="474" spans="1:11" x14ac:dyDescent="0.25">
      <c r="A474" s="22" t="s">
        <v>1656</v>
      </c>
      <c r="B474" s="22" t="s">
        <v>1657</v>
      </c>
      <c r="C474" s="22">
        <v>442</v>
      </c>
      <c r="D474" s="22" t="s">
        <v>260</v>
      </c>
      <c r="E474" s="22">
        <v>4</v>
      </c>
      <c r="F474" s="22">
        <v>340</v>
      </c>
      <c r="G474" s="22" t="s">
        <v>1658</v>
      </c>
      <c r="H474" s="22" t="s">
        <v>262</v>
      </c>
      <c r="I474" s="34">
        <v>45923</v>
      </c>
      <c r="J474" s="34">
        <v>45919</v>
      </c>
      <c r="K474" s="22" t="s">
        <v>244</v>
      </c>
    </row>
    <row r="475" spans="1:11" x14ac:dyDescent="0.25">
      <c r="A475" s="22" t="s">
        <v>1659</v>
      </c>
      <c r="B475" s="22" t="s">
        <v>1660</v>
      </c>
      <c r="C475" s="22">
        <v>455</v>
      </c>
      <c r="D475" s="22" t="s">
        <v>265</v>
      </c>
      <c r="E475" s="22">
        <v>5</v>
      </c>
      <c r="F475" s="22">
        <v>350</v>
      </c>
      <c r="G475" s="22" t="s">
        <v>1661</v>
      </c>
      <c r="H475" s="22" t="s">
        <v>267</v>
      </c>
      <c r="I475" s="34">
        <v>45922</v>
      </c>
      <c r="J475" s="34">
        <v>45918</v>
      </c>
      <c r="K475" s="22" t="s">
        <v>243</v>
      </c>
    </row>
    <row r="476" spans="1:11" x14ac:dyDescent="0.25">
      <c r="A476" s="22" t="s">
        <v>1662</v>
      </c>
      <c r="B476" s="22" t="s">
        <v>1663</v>
      </c>
      <c r="C476" s="22">
        <v>468</v>
      </c>
      <c r="D476" s="22" t="s">
        <v>270</v>
      </c>
      <c r="E476" s="22">
        <v>1</v>
      </c>
      <c r="F476" s="22">
        <v>360</v>
      </c>
      <c r="G476" s="22" t="s">
        <v>1664</v>
      </c>
      <c r="H476" s="22" t="s">
        <v>272</v>
      </c>
      <c r="I476" s="34">
        <v>45921</v>
      </c>
      <c r="J476" s="34">
        <v>45917</v>
      </c>
      <c r="K476" s="22" t="s">
        <v>247</v>
      </c>
    </row>
    <row r="477" spans="1:11" x14ac:dyDescent="0.25">
      <c r="A477" s="22" t="s">
        <v>1665</v>
      </c>
      <c r="B477" s="22" t="s">
        <v>1666</v>
      </c>
      <c r="C477" s="22">
        <v>481</v>
      </c>
      <c r="D477" s="22" t="s">
        <v>250</v>
      </c>
      <c r="E477" s="22">
        <v>2</v>
      </c>
      <c r="F477" s="22">
        <v>370</v>
      </c>
      <c r="G477" s="22" t="s">
        <v>1667</v>
      </c>
      <c r="H477" s="22" t="s">
        <v>252</v>
      </c>
      <c r="I477" s="34">
        <v>45920</v>
      </c>
      <c r="J477" s="34">
        <v>45916</v>
      </c>
      <c r="K477" s="22" t="s">
        <v>246</v>
      </c>
    </row>
    <row r="478" spans="1:11" x14ac:dyDescent="0.25">
      <c r="A478" s="22" t="s">
        <v>1668</v>
      </c>
      <c r="B478" s="22" t="s">
        <v>1669</v>
      </c>
      <c r="C478" s="22">
        <v>494</v>
      </c>
      <c r="D478" s="22" t="s">
        <v>255</v>
      </c>
      <c r="E478" s="22">
        <v>3</v>
      </c>
      <c r="F478" s="22">
        <v>380</v>
      </c>
      <c r="G478" s="22" t="s">
        <v>1670</v>
      </c>
      <c r="H478" s="22" t="s">
        <v>257</v>
      </c>
      <c r="I478" s="34">
        <v>45919</v>
      </c>
      <c r="J478" s="34">
        <v>45915</v>
      </c>
      <c r="K478" s="22" t="s">
        <v>245</v>
      </c>
    </row>
    <row r="479" spans="1:11" x14ac:dyDescent="0.25">
      <c r="A479" s="22" t="s">
        <v>1671</v>
      </c>
      <c r="B479" s="22" t="s">
        <v>1672</v>
      </c>
      <c r="C479" s="22">
        <v>507</v>
      </c>
      <c r="D479" s="22" t="s">
        <v>260</v>
      </c>
      <c r="E479" s="22">
        <v>4</v>
      </c>
      <c r="F479" s="22">
        <v>390</v>
      </c>
      <c r="G479" s="22" t="s">
        <v>1673</v>
      </c>
      <c r="H479" s="22" t="s">
        <v>262</v>
      </c>
      <c r="I479" s="34">
        <v>45918</v>
      </c>
      <c r="J479" s="34">
        <v>45914</v>
      </c>
      <c r="K479" s="22" t="s">
        <v>244</v>
      </c>
    </row>
    <row r="480" spans="1:11" x14ac:dyDescent="0.25">
      <c r="A480" s="22" t="s">
        <v>1674</v>
      </c>
      <c r="B480" s="22" t="s">
        <v>1675</v>
      </c>
      <c r="C480" s="22">
        <v>520</v>
      </c>
      <c r="D480" s="22" t="s">
        <v>265</v>
      </c>
      <c r="E480" s="22">
        <v>5</v>
      </c>
      <c r="F480" s="22">
        <v>400</v>
      </c>
      <c r="G480" s="22" t="s">
        <v>1676</v>
      </c>
      <c r="H480" s="22" t="s">
        <v>267</v>
      </c>
      <c r="I480" s="34">
        <v>45917</v>
      </c>
      <c r="J480" s="34">
        <v>45913</v>
      </c>
      <c r="K480" s="22" t="s">
        <v>243</v>
      </c>
    </row>
    <row r="481" spans="1:11" x14ac:dyDescent="0.25">
      <c r="A481" s="22" t="s">
        <v>1677</v>
      </c>
      <c r="B481" s="22" t="s">
        <v>1678</v>
      </c>
      <c r="C481" s="22">
        <v>533</v>
      </c>
      <c r="D481" s="22" t="s">
        <v>270</v>
      </c>
      <c r="E481" s="22">
        <v>1</v>
      </c>
      <c r="F481" s="22">
        <v>410</v>
      </c>
      <c r="G481" s="22" t="s">
        <v>1679</v>
      </c>
      <c r="H481" s="22" t="s">
        <v>272</v>
      </c>
      <c r="I481" s="34">
        <v>45916</v>
      </c>
      <c r="J481" s="34">
        <v>45912</v>
      </c>
      <c r="K481" s="22" t="s">
        <v>247</v>
      </c>
    </row>
    <row r="482" spans="1:11" x14ac:dyDescent="0.25">
      <c r="A482" s="22" t="s">
        <v>1680</v>
      </c>
      <c r="B482" s="22" t="s">
        <v>1681</v>
      </c>
      <c r="C482" s="22">
        <v>546</v>
      </c>
      <c r="D482" s="22" t="s">
        <v>250</v>
      </c>
      <c r="E482" s="22">
        <v>2</v>
      </c>
      <c r="F482" s="22">
        <v>420</v>
      </c>
      <c r="G482" s="22" t="s">
        <v>1682</v>
      </c>
      <c r="H482" s="22" t="s">
        <v>252</v>
      </c>
      <c r="I482" s="34">
        <v>45915</v>
      </c>
      <c r="J482" s="34">
        <v>45911</v>
      </c>
      <c r="K482" s="22" t="s">
        <v>246</v>
      </c>
    </row>
    <row r="483" spans="1:11" x14ac:dyDescent="0.25">
      <c r="A483" s="22" t="s">
        <v>1683</v>
      </c>
      <c r="B483" s="22" t="s">
        <v>1684</v>
      </c>
      <c r="C483" s="22">
        <v>559</v>
      </c>
      <c r="D483" s="22" t="s">
        <v>255</v>
      </c>
      <c r="E483" s="22">
        <v>3</v>
      </c>
      <c r="F483" s="22">
        <v>430</v>
      </c>
      <c r="G483" s="22" t="s">
        <v>1685</v>
      </c>
      <c r="H483" s="22" t="s">
        <v>257</v>
      </c>
      <c r="I483" s="34">
        <v>45914</v>
      </c>
      <c r="J483" s="34">
        <v>45910</v>
      </c>
      <c r="K483" s="22" t="s">
        <v>245</v>
      </c>
    </row>
    <row r="484" spans="1:11" x14ac:dyDescent="0.25">
      <c r="A484" s="22" t="s">
        <v>1686</v>
      </c>
      <c r="B484" s="22" t="s">
        <v>1687</v>
      </c>
      <c r="C484" s="22">
        <v>572</v>
      </c>
      <c r="D484" s="22" t="s">
        <v>260</v>
      </c>
      <c r="E484" s="22">
        <v>4</v>
      </c>
      <c r="F484" s="22">
        <v>440</v>
      </c>
      <c r="G484" s="22" t="s">
        <v>1688</v>
      </c>
      <c r="H484" s="22" t="s">
        <v>262</v>
      </c>
      <c r="I484" s="34">
        <v>45913</v>
      </c>
      <c r="J484" s="34">
        <v>45909</v>
      </c>
      <c r="K484" s="22" t="s">
        <v>244</v>
      </c>
    </row>
    <row r="485" spans="1:11" x14ac:dyDescent="0.25">
      <c r="A485" s="22" t="s">
        <v>1689</v>
      </c>
      <c r="B485" s="22" t="s">
        <v>1690</v>
      </c>
      <c r="C485" s="22">
        <v>585</v>
      </c>
      <c r="D485" s="22" t="s">
        <v>265</v>
      </c>
      <c r="E485" s="22">
        <v>5</v>
      </c>
      <c r="F485" s="22">
        <v>450</v>
      </c>
      <c r="G485" s="22" t="s">
        <v>1691</v>
      </c>
      <c r="H485" s="22" t="s">
        <v>267</v>
      </c>
      <c r="I485" s="34">
        <v>45912</v>
      </c>
      <c r="J485" s="34">
        <v>45908</v>
      </c>
      <c r="K485" s="22" t="s">
        <v>243</v>
      </c>
    </row>
    <row r="486" spans="1:11" x14ac:dyDescent="0.25">
      <c r="A486" s="22" t="s">
        <v>1692</v>
      </c>
      <c r="B486" s="22" t="s">
        <v>1693</v>
      </c>
      <c r="C486" s="22">
        <v>598</v>
      </c>
      <c r="D486" s="22" t="s">
        <v>270</v>
      </c>
      <c r="E486" s="22">
        <v>1</v>
      </c>
      <c r="F486" s="22">
        <v>460</v>
      </c>
      <c r="G486" s="22" t="s">
        <v>1694</v>
      </c>
      <c r="H486" s="22" t="s">
        <v>272</v>
      </c>
      <c r="I486" s="34">
        <v>45911</v>
      </c>
      <c r="J486" s="34">
        <v>45907</v>
      </c>
      <c r="K486" s="22" t="s">
        <v>247</v>
      </c>
    </row>
    <row r="487" spans="1:11" x14ac:dyDescent="0.25">
      <c r="A487" s="22" t="s">
        <v>1695</v>
      </c>
      <c r="B487" s="22" t="s">
        <v>1696</v>
      </c>
      <c r="C487" s="22">
        <v>611</v>
      </c>
      <c r="D487" s="22" t="s">
        <v>250</v>
      </c>
      <c r="E487" s="22">
        <v>2</v>
      </c>
      <c r="F487" s="22">
        <v>470</v>
      </c>
      <c r="G487" s="22" t="s">
        <v>1697</v>
      </c>
      <c r="H487" s="22" t="s">
        <v>252</v>
      </c>
      <c r="I487" s="34">
        <v>45910</v>
      </c>
      <c r="J487" s="34">
        <v>45906</v>
      </c>
      <c r="K487" s="22" t="s">
        <v>246</v>
      </c>
    </row>
    <row r="488" spans="1:11" x14ac:dyDescent="0.25">
      <c r="A488" s="22" t="s">
        <v>1698</v>
      </c>
      <c r="B488" s="22" t="s">
        <v>1699</v>
      </c>
      <c r="C488" s="22">
        <v>624</v>
      </c>
      <c r="D488" s="22" t="s">
        <v>255</v>
      </c>
      <c r="E488" s="22">
        <v>3</v>
      </c>
      <c r="F488" s="22">
        <v>480</v>
      </c>
      <c r="G488" s="22" t="s">
        <v>1700</v>
      </c>
      <c r="H488" s="22" t="s">
        <v>257</v>
      </c>
      <c r="I488" s="34">
        <v>45909</v>
      </c>
      <c r="J488" s="34">
        <v>45905</v>
      </c>
      <c r="K488" s="22" t="s">
        <v>245</v>
      </c>
    </row>
    <row r="489" spans="1:11" x14ac:dyDescent="0.25">
      <c r="A489" s="22" t="s">
        <v>1701</v>
      </c>
      <c r="B489" s="22" t="s">
        <v>1702</v>
      </c>
      <c r="C489" s="22">
        <v>637</v>
      </c>
      <c r="D489" s="22" t="s">
        <v>260</v>
      </c>
      <c r="E489" s="22">
        <v>4</v>
      </c>
      <c r="F489" s="22">
        <v>490</v>
      </c>
      <c r="G489" s="22" t="s">
        <v>1703</v>
      </c>
      <c r="H489" s="22" t="s">
        <v>262</v>
      </c>
      <c r="I489" s="34">
        <v>45908</v>
      </c>
      <c r="J489" s="34">
        <v>45904</v>
      </c>
      <c r="K489" s="22" t="s">
        <v>244</v>
      </c>
    </row>
    <row r="490" spans="1:11" x14ac:dyDescent="0.25">
      <c r="A490" s="22" t="s">
        <v>1704</v>
      </c>
      <c r="B490" s="22" t="s">
        <v>240</v>
      </c>
      <c r="C490" s="22">
        <v>650</v>
      </c>
      <c r="D490" s="22" t="s">
        <v>265</v>
      </c>
      <c r="E490" s="22">
        <v>5</v>
      </c>
      <c r="F490" s="22">
        <v>500</v>
      </c>
      <c r="G490" s="22" t="s">
        <v>1705</v>
      </c>
      <c r="H490" s="22" t="s">
        <v>267</v>
      </c>
      <c r="I490" s="34">
        <v>45907</v>
      </c>
      <c r="J490" s="34">
        <v>45903</v>
      </c>
      <c r="K490" s="22" t="s">
        <v>243</v>
      </c>
    </row>
    <row r="491" spans="1:11" x14ac:dyDescent="0.25">
      <c r="A491" s="22" t="s">
        <v>1706</v>
      </c>
      <c r="B491" s="22" t="s">
        <v>1707</v>
      </c>
      <c r="C491" s="22">
        <v>663</v>
      </c>
      <c r="D491" s="22" t="s">
        <v>270</v>
      </c>
      <c r="E491" s="22">
        <v>1</v>
      </c>
      <c r="F491" s="22">
        <v>510</v>
      </c>
      <c r="G491" s="22" t="s">
        <v>1708</v>
      </c>
      <c r="H491" s="22" t="s">
        <v>272</v>
      </c>
      <c r="I491" s="34">
        <v>45906</v>
      </c>
      <c r="J491" s="34">
        <v>45902</v>
      </c>
      <c r="K491" s="22" t="s">
        <v>247</v>
      </c>
    </row>
    <row r="492" spans="1:11" x14ac:dyDescent="0.25">
      <c r="A492" s="22" t="s">
        <v>1709</v>
      </c>
      <c r="B492" s="22" t="s">
        <v>1710</v>
      </c>
      <c r="C492" s="22">
        <v>676</v>
      </c>
      <c r="D492" s="22" t="s">
        <v>250</v>
      </c>
      <c r="E492" s="22">
        <v>2</v>
      </c>
      <c r="F492" s="22">
        <v>520</v>
      </c>
      <c r="G492" s="22" t="s">
        <v>1711</v>
      </c>
      <c r="H492" s="22" t="s">
        <v>252</v>
      </c>
      <c r="I492" s="34">
        <v>45905</v>
      </c>
      <c r="J492" s="34">
        <v>45901</v>
      </c>
      <c r="K492" s="22" t="s">
        <v>246</v>
      </c>
    </row>
    <row r="493" spans="1:11" x14ac:dyDescent="0.25">
      <c r="A493" s="22" t="s">
        <v>1712</v>
      </c>
      <c r="B493" s="22" t="s">
        <v>1713</v>
      </c>
      <c r="C493" s="22">
        <v>689</v>
      </c>
      <c r="D493" s="22" t="s">
        <v>255</v>
      </c>
      <c r="E493" s="22">
        <v>3</v>
      </c>
      <c r="F493" s="22">
        <v>530</v>
      </c>
      <c r="G493" s="22" t="s">
        <v>1714</v>
      </c>
      <c r="H493" s="22" t="s">
        <v>257</v>
      </c>
      <c r="I493" s="34">
        <v>45904</v>
      </c>
      <c r="J493" s="34">
        <v>45900</v>
      </c>
      <c r="K493" s="22" t="s">
        <v>245</v>
      </c>
    </row>
    <row r="494" spans="1:11" x14ac:dyDescent="0.25">
      <c r="A494" s="22" t="s">
        <v>1715</v>
      </c>
      <c r="B494" s="22" t="s">
        <v>1716</v>
      </c>
      <c r="C494" s="22">
        <v>702</v>
      </c>
      <c r="D494" s="22" t="s">
        <v>260</v>
      </c>
      <c r="E494" s="22">
        <v>4</v>
      </c>
      <c r="F494" s="22">
        <v>540</v>
      </c>
      <c r="G494" s="22" t="s">
        <v>1717</v>
      </c>
      <c r="H494" s="22" t="s">
        <v>262</v>
      </c>
      <c r="I494" s="34">
        <v>45903</v>
      </c>
      <c r="J494" s="34">
        <v>45899</v>
      </c>
      <c r="K494" s="22" t="s">
        <v>244</v>
      </c>
    </row>
    <row r="495" spans="1:11" x14ac:dyDescent="0.25">
      <c r="A495" s="22" t="s">
        <v>1718</v>
      </c>
      <c r="B495" s="22" t="s">
        <v>223</v>
      </c>
      <c r="C495" s="22">
        <v>715</v>
      </c>
      <c r="D495" s="22" t="s">
        <v>265</v>
      </c>
      <c r="E495" s="22">
        <v>5</v>
      </c>
      <c r="F495" s="22">
        <v>550</v>
      </c>
      <c r="G495" s="22" t="s">
        <v>1719</v>
      </c>
      <c r="H495" s="22" t="s">
        <v>267</v>
      </c>
      <c r="I495" s="34">
        <v>45902</v>
      </c>
      <c r="J495" s="34">
        <v>45898</v>
      </c>
      <c r="K495" s="22" t="s">
        <v>243</v>
      </c>
    </row>
    <row r="496" spans="1:11" x14ac:dyDescent="0.25">
      <c r="A496" s="22" t="s">
        <v>1720</v>
      </c>
      <c r="B496" s="22" t="s">
        <v>1721</v>
      </c>
      <c r="C496" s="22">
        <v>728</v>
      </c>
      <c r="D496" s="22" t="s">
        <v>270</v>
      </c>
      <c r="E496" s="22">
        <v>1</v>
      </c>
      <c r="F496" s="22">
        <v>560</v>
      </c>
      <c r="G496" s="22" t="s">
        <v>1722</v>
      </c>
      <c r="H496" s="22" t="s">
        <v>272</v>
      </c>
      <c r="I496" s="34">
        <v>45901</v>
      </c>
      <c r="J496" s="34">
        <v>45897</v>
      </c>
      <c r="K496" s="22" t="s">
        <v>247</v>
      </c>
    </row>
    <row r="497" spans="1:11" x14ac:dyDescent="0.25">
      <c r="A497" s="22" t="s">
        <v>1723</v>
      </c>
      <c r="B497" s="22" t="s">
        <v>1724</v>
      </c>
      <c r="C497" s="22">
        <v>741</v>
      </c>
      <c r="D497" s="22" t="s">
        <v>250</v>
      </c>
      <c r="E497" s="22">
        <v>2</v>
      </c>
      <c r="F497" s="22">
        <v>570</v>
      </c>
      <c r="G497" s="22" t="s">
        <v>1725</v>
      </c>
      <c r="H497" s="22" t="s">
        <v>252</v>
      </c>
      <c r="I497" s="34">
        <v>45900</v>
      </c>
      <c r="J497" s="34">
        <v>45896</v>
      </c>
      <c r="K497" s="22" t="s">
        <v>246</v>
      </c>
    </row>
    <row r="498" spans="1:11" x14ac:dyDescent="0.25">
      <c r="A498" s="22" t="s">
        <v>1726</v>
      </c>
      <c r="B498" s="22" t="s">
        <v>1727</v>
      </c>
      <c r="C498" s="22">
        <v>754</v>
      </c>
      <c r="D498" s="22" t="s">
        <v>255</v>
      </c>
      <c r="E498" s="22">
        <v>3</v>
      </c>
      <c r="F498" s="22">
        <v>580</v>
      </c>
      <c r="G498" s="22" t="s">
        <v>1728</v>
      </c>
      <c r="H498" s="22" t="s">
        <v>257</v>
      </c>
      <c r="I498" s="34">
        <v>45899</v>
      </c>
      <c r="J498" s="34">
        <v>45895</v>
      </c>
      <c r="K498" s="22" t="s">
        <v>245</v>
      </c>
    </row>
    <row r="499" spans="1:11" x14ac:dyDescent="0.25">
      <c r="A499" s="22" t="s">
        <v>1729</v>
      </c>
      <c r="B499" s="22" t="s">
        <v>1730</v>
      </c>
      <c r="C499" s="22">
        <v>767</v>
      </c>
      <c r="D499" s="22" t="s">
        <v>260</v>
      </c>
      <c r="E499" s="22">
        <v>4</v>
      </c>
      <c r="F499" s="22">
        <v>590</v>
      </c>
      <c r="G499" s="22" t="s">
        <v>1731</v>
      </c>
      <c r="H499" s="22" t="s">
        <v>262</v>
      </c>
      <c r="I499" s="34">
        <v>45898</v>
      </c>
      <c r="J499" s="34">
        <v>45894</v>
      </c>
      <c r="K499" s="22" t="s">
        <v>244</v>
      </c>
    </row>
    <row r="500" spans="1:11" x14ac:dyDescent="0.25">
      <c r="A500" s="22" t="s">
        <v>1732</v>
      </c>
      <c r="B500" s="22" t="s">
        <v>1733</v>
      </c>
      <c r="C500" s="22">
        <v>130</v>
      </c>
      <c r="D500" s="22" t="s">
        <v>265</v>
      </c>
      <c r="E500" s="22">
        <v>5</v>
      </c>
      <c r="F500" s="22">
        <v>100</v>
      </c>
      <c r="G500" s="22" t="s">
        <v>1734</v>
      </c>
      <c r="H500" s="22" t="s">
        <v>267</v>
      </c>
      <c r="I500" s="34">
        <v>46032</v>
      </c>
      <c r="J500" s="34">
        <v>45893</v>
      </c>
      <c r="K500" s="22" t="s">
        <v>243</v>
      </c>
    </row>
    <row r="501" spans="1:11" x14ac:dyDescent="0.25">
      <c r="A501" s="22" t="s">
        <v>1735</v>
      </c>
      <c r="B501" s="22" t="s">
        <v>1736</v>
      </c>
      <c r="C501" s="22">
        <v>143</v>
      </c>
      <c r="D501" s="22" t="s">
        <v>270</v>
      </c>
      <c r="E501" s="22">
        <v>1</v>
      </c>
      <c r="F501" s="22">
        <v>110</v>
      </c>
      <c r="G501" s="22" t="s">
        <v>1737</v>
      </c>
      <c r="H501" s="22" t="s">
        <v>272</v>
      </c>
      <c r="I501" s="34">
        <v>46031</v>
      </c>
      <c r="J501" s="34">
        <v>46032</v>
      </c>
      <c r="K501" s="22" t="s">
        <v>247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B1980-CA19-4C2E-B2B5-688818EF46FC}">
  <dimension ref="A1"/>
  <sheetViews>
    <sheetView workbookViewId="0">
      <selection activeCell="M41" sqref="M41"/>
    </sheetView>
  </sheetViews>
  <sheetFormatPr defaultRowHeight="15" x14ac:dyDescent="0.25"/>
  <cols>
    <col min="1" max="16384" width="9.140625" style="4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D207D-B03D-447F-B059-49C88481B161}">
  <dimension ref="A1:O43"/>
  <sheetViews>
    <sheetView workbookViewId="0">
      <selection activeCell="E22" sqref="E22:G22"/>
    </sheetView>
  </sheetViews>
  <sheetFormatPr defaultRowHeight="15" x14ac:dyDescent="0.25"/>
  <cols>
    <col min="1" max="1" width="13.140625" bestFit="1" customWidth="1"/>
    <col min="2" max="2" width="30.28515625" bestFit="1" customWidth="1"/>
    <col min="4" max="4" width="13.5703125" bestFit="1" customWidth="1"/>
    <col min="5" max="5" width="13.140625" bestFit="1" customWidth="1"/>
    <col min="6" max="6" width="12.85546875" bestFit="1" customWidth="1"/>
    <col min="7" max="7" width="11.42578125" bestFit="1" customWidth="1"/>
    <col min="8" max="8" width="10.5703125" bestFit="1" customWidth="1"/>
    <col min="9" max="9" width="23.5703125" bestFit="1" customWidth="1"/>
    <col min="11" max="11" width="17.28515625" bestFit="1" customWidth="1"/>
    <col min="12" max="12" width="17.42578125" bestFit="1" customWidth="1"/>
    <col min="13" max="13" width="7" bestFit="1" customWidth="1"/>
    <col min="14" max="14" width="13.140625" bestFit="1" customWidth="1"/>
    <col min="15" max="15" width="24.85546875" bestFit="1" customWidth="1"/>
    <col min="19" max="19" width="25.7109375" bestFit="1" customWidth="1"/>
  </cols>
  <sheetData>
    <row r="1" spans="1:15" ht="15.75" x14ac:dyDescent="0.25">
      <c r="A1" s="48" t="s">
        <v>1782</v>
      </c>
      <c r="B1" s="48" t="s">
        <v>1783</v>
      </c>
      <c r="C1" s="48" t="s">
        <v>1784</v>
      </c>
      <c r="D1" s="48" t="s">
        <v>1785</v>
      </c>
      <c r="E1" s="48" t="s">
        <v>1786</v>
      </c>
      <c r="F1" s="48" t="s">
        <v>1787</v>
      </c>
      <c r="G1" s="48" t="s">
        <v>1788</v>
      </c>
      <c r="H1" s="48" t="s">
        <v>1789</v>
      </c>
      <c r="I1" s="48" t="s">
        <v>1790</v>
      </c>
    </row>
    <row r="2" spans="1:15" x14ac:dyDescent="0.25">
      <c r="A2" s="49" t="s">
        <v>4</v>
      </c>
      <c r="B2" s="49" t="s">
        <v>1749</v>
      </c>
      <c r="C2" s="49">
        <v>85</v>
      </c>
      <c r="D2" s="49">
        <v>95</v>
      </c>
      <c r="E2" s="49">
        <v>1</v>
      </c>
      <c r="F2" s="49" t="s">
        <v>1774</v>
      </c>
      <c r="G2" s="49">
        <v>95</v>
      </c>
      <c r="H2" s="49">
        <v>81</v>
      </c>
      <c r="I2" s="49">
        <v>5.85</v>
      </c>
      <c r="N2" s="32" t="s">
        <v>115</v>
      </c>
      <c r="O2" t="s">
        <v>1791</v>
      </c>
    </row>
    <row r="3" spans="1:15" x14ac:dyDescent="0.25">
      <c r="A3" s="49" t="s">
        <v>1750</v>
      </c>
      <c r="B3" s="49" t="s">
        <v>1751</v>
      </c>
      <c r="C3" s="49">
        <v>78</v>
      </c>
      <c r="D3" s="49">
        <v>92</v>
      </c>
      <c r="E3" s="49">
        <v>2</v>
      </c>
      <c r="F3" s="49" t="s">
        <v>1772</v>
      </c>
      <c r="G3" s="49">
        <v>92</v>
      </c>
      <c r="H3" s="49">
        <v>89</v>
      </c>
      <c r="I3" s="49">
        <v>5.67</v>
      </c>
      <c r="N3" s="31" t="s">
        <v>1774</v>
      </c>
      <c r="O3">
        <v>95</v>
      </c>
    </row>
    <row r="4" spans="1:15" x14ac:dyDescent="0.25">
      <c r="A4" s="49" t="s">
        <v>1752</v>
      </c>
      <c r="B4" s="49" t="s">
        <v>1753</v>
      </c>
      <c r="C4" s="49">
        <v>88</v>
      </c>
      <c r="D4" s="49">
        <v>91</v>
      </c>
      <c r="E4" s="49">
        <v>3</v>
      </c>
      <c r="F4" s="49" t="s">
        <v>92</v>
      </c>
      <c r="G4" s="49">
        <v>91</v>
      </c>
      <c r="H4" s="49">
        <v>90</v>
      </c>
      <c r="I4" s="49">
        <v>5.6</v>
      </c>
      <c r="N4" s="31" t="s">
        <v>1772</v>
      </c>
      <c r="O4">
        <v>92</v>
      </c>
    </row>
    <row r="5" spans="1:15" x14ac:dyDescent="0.25">
      <c r="A5" s="49" t="s">
        <v>93</v>
      </c>
      <c r="B5" s="49" t="s">
        <v>1754</v>
      </c>
      <c r="C5" s="49">
        <v>67</v>
      </c>
      <c r="D5" s="49">
        <v>90</v>
      </c>
      <c r="E5" s="49">
        <v>4</v>
      </c>
      <c r="F5" s="49"/>
      <c r="G5" s="49"/>
      <c r="H5" s="49">
        <v>79</v>
      </c>
      <c r="I5" s="49">
        <v>5.54</v>
      </c>
      <c r="N5" s="31" t="s">
        <v>92</v>
      </c>
      <c r="O5">
        <v>91</v>
      </c>
    </row>
    <row r="6" spans="1:15" x14ac:dyDescent="0.25">
      <c r="A6" s="49" t="s">
        <v>114</v>
      </c>
      <c r="B6" s="49" t="s">
        <v>1755</v>
      </c>
      <c r="C6" s="49">
        <v>72</v>
      </c>
      <c r="D6" s="49">
        <v>90</v>
      </c>
      <c r="E6" s="49">
        <v>4</v>
      </c>
      <c r="F6" s="49"/>
      <c r="G6" s="49"/>
      <c r="H6" s="49">
        <v>91</v>
      </c>
      <c r="I6" s="49">
        <v>5.54</v>
      </c>
      <c r="N6" s="31" t="s">
        <v>1793</v>
      </c>
    </row>
    <row r="7" spans="1:15" x14ac:dyDescent="0.25">
      <c r="A7" s="49" t="s">
        <v>92</v>
      </c>
      <c r="B7" s="49" t="s">
        <v>1756</v>
      </c>
      <c r="C7" s="49">
        <v>91</v>
      </c>
      <c r="D7" s="49">
        <v>89</v>
      </c>
      <c r="E7" s="49">
        <v>6</v>
      </c>
      <c r="F7" s="49"/>
      <c r="G7" s="49"/>
      <c r="H7" s="49">
        <v>83</v>
      </c>
      <c r="I7" s="49">
        <v>5.48</v>
      </c>
      <c r="K7" s="32" t="s">
        <v>115</v>
      </c>
      <c r="L7" t="s">
        <v>1794</v>
      </c>
      <c r="N7" s="31" t="s">
        <v>116</v>
      </c>
      <c r="O7">
        <v>278</v>
      </c>
    </row>
    <row r="8" spans="1:15" x14ac:dyDescent="0.25">
      <c r="A8" s="49" t="s">
        <v>1757</v>
      </c>
      <c r="B8" s="49" t="s">
        <v>1758</v>
      </c>
      <c r="C8" s="49">
        <v>90</v>
      </c>
      <c r="D8" s="49">
        <v>88</v>
      </c>
      <c r="E8" s="49">
        <v>7</v>
      </c>
      <c r="F8" s="49"/>
      <c r="G8" s="49"/>
      <c r="H8" s="49">
        <v>67</v>
      </c>
      <c r="I8" s="49">
        <v>5.42</v>
      </c>
      <c r="K8" s="31" t="s">
        <v>1763</v>
      </c>
      <c r="L8">
        <v>70</v>
      </c>
    </row>
    <row r="9" spans="1:15" x14ac:dyDescent="0.25">
      <c r="A9" s="49" t="s">
        <v>1759</v>
      </c>
      <c r="B9" s="49" t="s">
        <v>1760</v>
      </c>
      <c r="C9" s="49">
        <v>69</v>
      </c>
      <c r="D9" s="49">
        <v>87</v>
      </c>
      <c r="E9" s="49">
        <v>8</v>
      </c>
      <c r="F9" s="49"/>
      <c r="G9" s="49"/>
      <c r="H9" s="49">
        <v>78</v>
      </c>
      <c r="I9" s="49">
        <v>5.36</v>
      </c>
      <c r="K9" s="31" t="s">
        <v>1777</v>
      </c>
      <c r="L9">
        <v>87</v>
      </c>
    </row>
    <row r="10" spans="1:15" x14ac:dyDescent="0.25">
      <c r="A10" s="49" t="s">
        <v>1761</v>
      </c>
      <c r="B10" s="49" t="s">
        <v>1762</v>
      </c>
      <c r="C10" s="49">
        <v>74</v>
      </c>
      <c r="D10" s="49">
        <v>85</v>
      </c>
      <c r="E10" s="49">
        <v>9</v>
      </c>
      <c r="F10" s="49"/>
      <c r="G10" s="49"/>
      <c r="H10" s="49">
        <v>85</v>
      </c>
      <c r="I10" s="49">
        <v>5.23</v>
      </c>
      <c r="K10" s="31" t="s">
        <v>1755</v>
      </c>
      <c r="L10">
        <v>91</v>
      </c>
    </row>
    <row r="11" spans="1:15" x14ac:dyDescent="0.25">
      <c r="A11" s="49" t="s">
        <v>1</v>
      </c>
      <c r="B11" s="49" t="s">
        <v>1763</v>
      </c>
      <c r="C11" s="49">
        <v>81</v>
      </c>
      <c r="D11" s="49">
        <v>83</v>
      </c>
      <c r="E11" s="49">
        <v>10</v>
      </c>
      <c r="F11" s="49"/>
      <c r="G11" s="49"/>
      <c r="H11" s="49">
        <v>70</v>
      </c>
      <c r="I11" s="49">
        <v>5.1100000000000003</v>
      </c>
      <c r="K11" s="31" t="s">
        <v>1754</v>
      </c>
      <c r="L11">
        <v>79</v>
      </c>
    </row>
    <row r="12" spans="1:15" x14ac:dyDescent="0.25">
      <c r="A12" s="49" t="s">
        <v>1764</v>
      </c>
      <c r="B12" s="49" t="s">
        <v>1765</v>
      </c>
      <c r="C12" s="49">
        <v>76</v>
      </c>
      <c r="D12" s="49">
        <v>81</v>
      </c>
      <c r="E12" s="49">
        <v>11</v>
      </c>
      <c r="F12" s="49"/>
      <c r="G12" s="49"/>
      <c r="H12" s="49">
        <v>92</v>
      </c>
      <c r="I12" s="49">
        <v>4.99</v>
      </c>
      <c r="K12" s="31" t="s">
        <v>1756</v>
      </c>
      <c r="L12">
        <v>83</v>
      </c>
    </row>
    <row r="13" spans="1:15" x14ac:dyDescent="0.25">
      <c r="A13" s="49" t="s">
        <v>1766</v>
      </c>
      <c r="B13" s="49" t="s">
        <v>127</v>
      </c>
      <c r="C13" s="49">
        <v>83</v>
      </c>
      <c r="D13" s="49">
        <v>79</v>
      </c>
      <c r="E13" s="49">
        <v>12</v>
      </c>
      <c r="F13" s="49"/>
      <c r="G13" s="49"/>
      <c r="H13" s="49">
        <v>74</v>
      </c>
      <c r="I13" s="49">
        <v>4.8600000000000003</v>
      </c>
      <c r="K13" s="31" t="s">
        <v>1758</v>
      </c>
      <c r="L13">
        <v>67</v>
      </c>
    </row>
    <row r="14" spans="1:15" x14ac:dyDescent="0.25">
      <c r="A14" s="49" t="s">
        <v>1767</v>
      </c>
      <c r="B14" s="49" t="s">
        <v>132</v>
      </c>
      <c r="C14" s="49">
        <v>79</v>
      </c>
      <c r="D14" s="49">
        <v>78</v>
      </c>
      <c r="E14" s="49">
        <v>13</v>
      </c>
      <c r="F14" s="49"/>
      <c r="G14" s="49"/>
      <c r="H14" s="49">
        <v>88</v>
      </c>
      <c r="I14" s="49">
        <v>4.8</v>
      </c>
      <c r="K14" s="31" t="s">
        <v>1781</v>
      </c>
      <c r="L14">
        <v>72</v>
      </c>
    </row>
    <row r="15" spans="1:15" x14ac:dyDescent="0.25">
      <c r="A15" s="49" t="s">
        <v>1768</v>
      </c>
      <c r="B15" s="49" t="s">
        <v>1769</v>
      </c>
      <c r="C15" s="49">
        <v>70</v>
      </c>
      <c r="D15" s="49">
        <v>76</v>
      </c>
      <c r="E15" s="49">
        <v>14</v>
      </c>
      <c r="F15" s="49"/>
      <c r="G15" s="49"/>
      <c r="H15" s="49">
        <v>68</v>
      </c>
      <c r="I15" s="49">
        <v>4.68</v>
      </c>
      <c r="K15" s="31" t="s">
        <v>1762</v>
      </c>
      <c r="L15">
        <v>85</v>
      </c>
    </row>
    <row r="16" spans="1:15" x14ac:dyDescent="0.25">
      <c r="A16" s="49" t="s">
        <v>1770</v>
      </c>
      <c r="B16" s="49" t="s">
        <v>1771</v>
      </c>
      <c r="C16" s="49">
        <v>68</v>
      </c>
      <c r="D16" s="49">
        <v>74</v>
      </c>
      <c r="E16" s="49">
        <v>15</v>
      </c>
      <c r="F16" s="49"/>
      <c r="G16" s="49"/>
      <c r="H16" s="49">
        <v>76</v>
      </c>
      <c r="I16" s="49">
        <v>4.5599999999999996</v>
      </c>
      <c r="K16" s="31" t="s">
        <v>1751</v>
      </c>
      <c r="L16">
        <v>89</v>
      </c>
    </row>
    <row r="17" spans="1:12" x14ac:dyDescent="0.25">
      <c r="A17" s="49" t="s">
        <v>1772</v>
      </c>
      <c r="B17" s="49" t="s">
        <v>1773</v>
      </c>
      <c r="C17" s="49">
        <v>92</v>
      </c>
      <c r="D17" s="49">
        <v>72</v>
      </c>
      <c r="E17" s="49">
        <v>16</v>
      </c>
      <c r="F17" s="49"/>
      <c r="G17" s="49"/>
      <c r="H17" s="49">
        <v>69</v>
      </c>
      <c r="I17" s="49">
        <v>4.43</v>
      </c>
      <c r="K17" s="31" t="s">
        <v>127</v>
      </c>
      <c r="L17">
        <v>74</v>
      </c>
    </row>
    <row r="18" spans="1:12" x14ac:dyDescent="0.25">
      <c r="A18" s="49" t="s">
        <v>1774</v>
      </c>
      <c r="B18" s="49" t="s">
        <v>1775</v>
      </c>
      <c r="C18" s="49">
        <v>95</v>
      </c>
      <c r="D18" s="49">
        <v>70</v>
      </c>
      <c r="E18" s="49">
        <v>17</v>
      </c>
      <c r="F18" s="49"/>
      <c r="G18" s="49"/>
      <c r="H18" s="49">
        <v>95</v>
      </c>
      <c r="I18" s="49">
        <v>4.3099999999999996</v>
      </c>
      <c r="K18" s="31" t="s">
        <v>1771</v>
      </c>
      <c r="L18">
        <v>76</v>
      </c>
    </row>
    <row r="19" spans="1:12" x14ac:dyDescent="0.25">
      <c r="A19" s="49" t="s">
        <v>1776</v>
      </c>
      <c r="B19" s="49" t="s">
        <v>1777</v>
      </c>
      <c r="C19" s="49">
        <v>89</v>
      </c>
      <c r="D19" s="49">
        <v>69</v>
      </c>
      <c r="E19" s="49">
        <v>18</v>
      </c>
      <c r="F19" s="49"/>
      <c r="G19" s="49"/>
      <c r="H19" s="49">
        <v>87</v>
      </c>
      <c r="I19" s="49">
        <v>4.25</v>
      </c>
      <c r="K19" s="31" t="s">
        <v>1769</v>
      </c>
      <c r="L19">
        <v>68</v>
      </c>
    </row>
    <row r="20" spans="1:12" x14ac:dyDescent="0.25">
      <c r="A20" s="49" t="s">
        <v>1778</v>
      </c>
      <c r="B20" s="49" t="s">
        <v>1779</v>
      </c>
      <c r="C20" s="49">
        <v>87</v>
      </c>
      <c r="D20" s="49">
        <v>68</v>
      </c>
      <c r="E20" s="49">
        <v>19</v>
      </c>
      <c r="F20" s="49"/>
      <c r="G20" s="49"/>
      <c r="H20" s="49">
        <v>90</v>
      </c>
      <c r="I20" s="49">
        <v>4.1900000000000004</v>
      </c>
      <c r="K20" s="31" t="s">
        <v>1773</v>
      </c>
      <c r="L20">
        <v>69</v>
      </c>
    </row>
    <row r="21" spans="1:12" x14ac:dyDescent="0.25">
      <c r="A21" s="49" t="s">
        <v>1780</v>
      </c>
      <c r="B21" s="49" t="s">
        <v>1781</v>
      </c>
      <c r="C21" s="49">
        <v>90</v>
      </c>
      <c r="D21" s="49">
        <v>67</v>
      </c>
      <c r="E21" s="49">
        <v>20</v>
      </c>
      <c r="F21" s="49"/>
      <c r="G21" s="49"/>
      <c r="H21" s="49">
        <v>72</v>
      </c>
      <c r="I21" s="49">
        <v>4.13</v>
      </c>
      <c r="K21" s="31" t="s">
        <v>1779</v>
      </c>
      <c r="L21">
        <v>90</v>
      </c>
    </row>
    <row r="22" spans="1:12" x14ac:dyDescent="0.25">
      <c r="A22">
        <f>COUNT(A2:A21)</f>
        <v>0</v>
      </c>
      <c r="C22">
        <f>SUM(C2:C21)</f>
        <v>1624</v>
      </c>
      <c r="D22">
        <f>SUM(D2:D21)</f>
        <v>1624</v>
      </c>
      <c r="E22" s="32" t="s">
        <v>115</v>
      </c>
      <c r="F22" t="s">
        <v>1795</v>
      </c>
      <c r="G22" t="s">
        <v>1792</v>
      </c>
      <c r="K22" s="31" t="s">
        <v>1765</v>
      </c>
      <c r="L22">
        <v>92</v>
      </c>
    </row>
    <row r="23" spans="1:12" x14ac:dyDescent="0.25">
      <c r="E23" s="31" t="s">
        <v>1761</v>
      </c>
      <c r="F23">
        <v>74</v>
      </c>
      <c r="G23">
        <v>9</v>
      </c>
      <c r="K23" s="31" t="s">
        <v>132</v>
      </c>
      <c r="L23">
        <v>88</v>
      </c>
    </row>
    <row r="24" spans="1:12" x14ac:dyDescent="0.25">
      <c r="D24">
        <f>COUNT(D2:D21)</f>
        <v>20</v>
      </c>
      <c r="E24" s="31" t="s">
        <v>4</v>
      </c>
      <c r="F24">
        <v>85</v>
      </c>
      <c r="G24">
        <v>1</v>
      </c>
      <c r="K24" s="31" t="s">
        <v>1749</v>
      </c>
      <c r="L24">
        <v>81</v>
      </c>
    </row>
    <row r="25" spans="1:12" x14ac:dyDescent="0.25">
      <c r="A25" s="32" t="s">
        <v>115</v>
      </c>
      <c r="B25" t="s">
        <v>1796</v>
      </c>
      <c r="D25">
        <f>COUNT(A2:A21)</f>
        <v>0</v>
      </c>
      <c r="E25" s="31" t="s">
        <v>1774</v>
      </c>
      <c r="F25">
        <v>95</v>
      </c>
      <c r="G25">
        <v>17</v>
      </c>
      <c r="K25" s="31" t="s">
        <v>1753</v>
      </c>
      <c r="L25">
        <v>90</v>
      </c>
    </row>
    <row r="26" spans="1:12" x14ac:dyDescent="0.25">
      <c r="A26" s="31" t="s">
        <v>1774</v>
      </c>
      <c r="B26">
        <v>5.85</v>
      </c>
      <c r="E26" s="31" t="s">
        <v>1767</v>
      </c>
      <c r="F26">
        <v>79</v>
      </c>
      <c r="G26">
        <v>13</v>
      </c>
      <c r="K26" s="31" t="s">
        <v>1775</v>
      </c>
      <c r="L26">
        <v>95</v>
      </c>
    </row>
    <row r="27" spans="1:12" x14ac:dyDescent="0.25">
      <c r="A27" s="31" t="s">
        <v>1772</v>
      </c>
      <c r="B27">
        <v>5.67</v>
      </c>
      <c r="E27" s="31" t="s">
        <v>1768</v>
      </c>
      <c r="F27">
        <v>70</v>
      </c>
      <c r="G27">
        <v>14</v>
      </c>
      <c r="K27" s="31" t="s">
        <v>1760</v>
      </c>
      <c r="L27">
        <v>78</v>
      </c>
    </row>
    <row r="28" spans="1:12" x14ac:dyDescent="0.25">
      <c r="A28" s="31" t="s">
        <v>92</v>
      </c>
      <c r="B28">
        <v>5.6</v>
      </c>
      <c r="E28" s="31" t="s">
        <v>1780</v>
      </c>
      <c r="F28">
        <v>90</v>
      </c>
      <c r="G28">
        <v>20</v>
      </c>
      <c r="K28" s="31" t="s">
        <v>116</v>
      </c>
      <c r="L28">
        <v>1624</v>
      </c>
    </row>
    <row r="29" spans="1:12" x14ac:dyDescent="0.25">
      <c r="A29" s="31" t="s">
        <v>1793</v>
      </c>
      <c r="B29">
        <v>82.88</v>
      </c>
      <c r="E29" s="31" t="s">
        <v>1766</v>
      </c>
      <c r="F29">
        <v>83</v>
      </c>
      <c r="G29">
        <v>12</v>
      </c>
    </row>
    <row r="30" spans="1:12" x14ac:dyDescent="0.25">
      <c r="A30" s="31" t="s">
        <v>116</v>
      </c>
      <c r="B30">
        <v>100</v>
      </c>
      <c r="E30" s="31" t="s">
        <v>1778</v>
      </c>
      <c r="F30">
        <v>87</v>
      </c>
      <c r="G30">
        <v>19</v>
      </c>
    </row>
    <row r="31" spans="1:12" x14ac:dyDescent="0.25">
      <c r="E31" s="31" t="s">
        <v>1757</v>
      </c>
      <c r="F31">
        <v>90</v>
      </c>
      <c r="G31">
        <v>7</v>
      </c>
    </row>
    <row r="32" spans="1:12" x14ac:dyDescent="0.25">
      <c r="E32" s="31" t="s">
        <v>1772</v>
      </c>
      <c r="F32">
        <v>92</v>
      </c>
      <c r="G32">
        <v>16</v>
      </c>
    </row>
    <row r="33" spans="5:7" x14ac:dyDescent="0.25">
      <c r="E33" s="31" t="s">
        <v>1750</v>
      </c>
      <c r="F33">
        <v>78</v>
      </c>
      <c r="G33">
        <v>2</v>
      </c>
    </row>
    <row r="34" spans="5:7" x14ac:dyDescent="0.25">
      <c r="E34" s="31" t="s">
        <v>1764</v>
      </c>
      <c r="F34">
        <v>76</v>
      </c>
      <c r="G34">
        <v>11</v>
      </c>
    </row>
    <row r="35" spans="5:7" x14ac:dyDescent="0.25">
      <c r="E35" s="31" t="s">
        <v>92</v>
      </c>
      <c r="F35">
        <v>91</v>
      </c>
      <c r="G35">
        <v>6</v>
      </c>
    </row>
    <row r="36" spans="5:7" x14ac:dyDescent="0.25">
      <c r="E36" s="31" t="s">
        <v>1770</v>
      </c>
      <c r="F36">
        <v>68</v>
      </c>
      <c r="G36">
        <v>15</v>
      </c>
    </row>
    <row r="37" spans="5:7" x14ac:dyDescent="0.25">
      <c r="E37" s="31" t="s">
        <v>93</v>
      </c>
      <c r="F37">
        <v>67</v>
      </c>
      <c r="G37">
        <v>4</v>
      </c>
    </row>
    <row r="38" spans="5:7" x14ac:dyDescent="0.25">
      <c r="E38" s="31" t="s">
        <v>1759</v>
      </c>
      <c r="F38">
        <v>69</v>
      </c>
      <c r="G38">
        <v>8</v>
      </c>
    </row>
    <row r="39" spans="5:7" x14ac:dyDescent="0.25">
      <c r="E39" s="31" t="s">
        <v>1776</v>
      </c>
      <c r="F39">
        <v>89</v>
      </c>
      <c r="G39">
        <v>18</v>
      </c>
    </row>
    <row r="40" spans="5:7" x14ac:dyDescent="0.25">
      <c r="E40" s="31" t="s">
        <v>1752</v>
      </c>
      <c r="F40">
        <v>88</v>
      </c>
      <c r="G40">
        <v>3</v>
      </c>
    </row>
    <row r="41" spans="5:7" x14ac:dyDescent="0.25">
      <c r="E41" s="31" t="s">
        <v>114</v>
      </c>
      <c r="F41">
        <v>72</v>
      </c>
      <c r="G41">
        <v>4</v>
      </c>
    </row>
    <row r="42" spans="5:7" x14ac:dyDescent="0.25">
      <c r="E42" s="31" t="s">
        <v>1</v>
      </c>
      <c r="F42">
        <v>81</v>
      </c>
      <c r="G42">
        <v>10</v>
      </c>
    </row>
    <row r="43" spans="5:7" x14ac:dyDescent="0.25">
      <c r="E43" s="31" t="s">
        <v>116</v>
      </c>
      <c r="F43">
        <v>1624</v>
      </c>
      <c r="G43">
        <v>209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E90B5-A3F4-464A-91D6-728050F2666F}">
  <dimension ref="A1"/>
  <sheetViews>
    <sheetView workbookViewId="0">
      <selection activeCell="Q41" sqref="Q41"/>
    </sheetView>
  </sheetViews>
  <sheetFormatPr defaultRowHeight="15" x14ac:dyDescent="0.25"/>
  <cols>
    <col min="1" max="16384" width="9.140625" style="5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CA9AC-2824-4936-87CE-56187FD4EFCD}">
  <sheetPr filterMode="1"/>
  <dimension ref="A1:AB20"/>
  <sheetViews>
    <sheetView zoomScale="87" zoomScaleNormal="87" workbookViewId="0">
      <selection activeCell="R18" sqref="R18:R19"/>
    </sheetView>
  </sheetViews>
  <sheetFormatPr defaultRowHeight="15" x14ac:dyDescent="0.25"/>
  <cols>
    <col min="2" max="2" width="18.85546875" bestFit="1" customWidth="1"/>
    <col min="3" max="3" width="7.85546875" bestFit="1" customWidth="1"/>
    <col min="4" max="4" width="17.28515625" bestFit="1" customWidth="1"/>
    <col min="5" max="5" width="22.28515625" bestFit="1" customWidth="1"/>
    <col min="6" max="6" width="19.85546875" bestFit="1" customWidth="1"/>
    <col min="9" max="9" width="9.85546875" bestFit="1" customWidth="1"/>
    <col min="11" max="11" width="13.28515625" bestFit="1" customWidth="1"/>
    <col min="13" max="13" width="12.42578125" bestFit="1" customWidth="1"/>
    <col min="14" max="14" width="26.85546875" bestFit="1" customWidth="1"/>
    <col min="15" max="16" width="12" customWidth="1"/>
    <col min="17" max="17" width="17.28515625" bestFit="1" customWidth="1"/>
    <col min="18" max="18" width="17.7109375" bestFit="1" customWidth="1"/>
    <col min="19" max="19" width="18.28515625" bestFit="1" customWidth="1"/>
    <col min="20" max="20" width="22.42578125" bestFit="1" customWidth="1"/>
    <col min="21" max="21" width="11.140625" customWidth="1"/>
    <col min="23" max="23" width="17.85546875" bestFit="1" customWidth="1"/>
    <col min="24" max="24" width="34.28515625" bestFit="1" customWidth="1"/>
    <col min="25" max="25" width="21.42578125" bestFit="1" customWidth="1"/>
    <col min="26" max="26" width="4.5703125" bestFit="1" customWidth="1"/>
    <col min="27" max="27" width="3.140625" bestFit="1" customWidth="1"/>
    <col min="28" max="28" width="14.85546875" bestFit="1" customWidth="1"/>
  </cols>
  <sheetData>
    <row r="1" spans="1:28" ht="15.75" x14ac:dyDescent="0.25">
      <c r="A1" s="40" t="s">
        <v>206</v>
      </c>
      <c r="B1" s="40" t="s">
        <v>207</v>
      </c>
      <c r="C1" s="40" t="s">
        <v>208</v>
      </c>
      <c r="D1" s="40" t="s">
        <v>209</v>
      </c>
      <c r="E1" s="40" t="s">
        <v>210</v>
      </c>
      <c r="F1" s="40" t="s">
        <v>211</v>
      </c>
      <c r="G1" s="40" t="s">
        <v>142</v>
      </c>
      <c r="H1" s="40" t="s">
        <v>143</v>
      </c>
      <c r="I1" s="40" t="s">
        <v>212</v>
      </c>
      <c r="J1" s="40" t="s">
        <v>213</v>
      </c>
      <c r="K1" s="40" t="s">
        <v>214</v>
      </c>
      <c r="L1" s="40" t="s">
        <v>215</v>
      </c>
      <c r="M1" s="40" t="s">
        <v>216</v>
      </c>
      <c r="N1" s="40" t="s">
        <v>217</v>
      </c>
      <c r="O1" s="44" t="s">
        <v>222</v>
      </c>
      <c r="P1" s="44"/>
      <c r="Q1" s="40" t="s">
        <v>209</v>
      </c>
      <c r="R1" s="40" t="s">
        <v>218</v>
      </c>
      <c r="T1" s="40" t="s">
        <v>140</v>
      </c>
      <c r="U1" s="40" t="s">
        <v>219</v>
      </c>
      <c r="W1" s="40" t="s">
        <v>220</v>
      </c>
      <c r="X1" s="41" t="s">
        <v>211</v>
      </c>
      <c r="Y1" s="41"/>
      <c r="Z1" s="40" t="s">
        <v>140</v>
      </c>
      <c r="AA1" s="40" t="s">
        <v>215</v>
      </c>
      <c r="AB1" s="40" t="s">
        <v>221</v>
      </c>
    </row>
    <row r="2" spans="1:28" x14ac:dyDescent="0.25">
      <c r="A2" s="22">
        <v>1</v>
      </c>
      <c r="B2" s="22" t="s">
        <v>122</v>
      </c>
      <c r="C2" s="22" t="s">
        <v>148</v>
      </c>
      <c r="D2" s="22" t="s">
        <v>130</v>
      </c>
      <c r="E2" s="22" t="s">
        <v>149</v>
      </c>
      <c r="F2" s="34">
        <v>44576</v>
      </c>
      <c r="G2" s="22">
        <v>65000</v>
      </c>
      <c r="H2" s="22" t="s">
        <v>150</v>
      </c>
      <c r="I2" s="34">
        <v>45658</v>
      </c>
      <c r="J2" s="22" t="s">
        <v>125</v>
      </c>
      <c r="K2" s="34">
        <v>45662</v>
      </c>
      <c r="L2" s="22">
        <v>5</v>
      </c>
      <c r="M2" s="34">
        <v>45306</v>
      </c>
      <c r="N2" s="22" t="s">
        <v>151</v>
      </c>
      <c r="O2" s="22" t="str">
        <f t="shared" ref="O2:O19" si="0">IF(G2&gt;=50000,"Bonus","No Bonus")</f>
        <v>Bonus</v>
      </c>
      <c r="P2" s="45"/>
      <c r="Q2" s="45" t="s">
        <v>132</v>
      </c>
      <c r="R2" s="22">
        <v>2</v>
      </c>
      <c r="T2" s="22" t="s">
        <v>132</v>
      </c>
      <c r="U2" s="22">
        <v>47500</v>
      </c>
      <c r="W2" s="22" t="s">
        <v>188</v>
      </c>
      <c r="X2" s="42">
        <v>45112</v>
      </c>
      <c r="Y2" s="42"/>
      <c r="Z2" s="22" t="s">
        <v>135</v>
      </c>
      <c r="AA2" s="22">
        <v>5</v>
      </c>
      <c r="AB2" s="22">
        <v>1</v>
      </c>
    </row>
    <row r="3" spans="1:28" x14ac:dyDescent="0.25">
      <c r="A3" s="22">
        <v>3</v>
      </c>
      <c r="B3" s="22" t="s">
        <v>123</v>
      </c>
      <c r="C3" s="22" t="s">
        <v>148</v>
      </c>
      <c r="D3" s="22" t="s">
        <v>127</v>
      </c>
      <c r="E3" s="22" t="s">
        <v>153</v>
      </c>
      <c r="F3" s="34">
        <v>44013</v>
      </c>
      <c r="G3" s="22">
        <v>52000</v>
      </c>
      <c r="H3" s="22" t="s">
        <v>150</v>
      </c>
      <c r="I3" s="34">
        <v>45658</v>
      </c>
      <c r="J3" s="22" t="s">
        <v>128</v>
      </c>
      <c r="K3" s="34">
        <v>45662</v>
      </c>
      <c r="L3" s="22">
        <v>3</v>
      </c>
      <c r="M3" s="34">
        <v>45356</v>
      </c>
      <c r="N3" s="22" t="s">
        <v>154</v>
      </c>
      <c r="O3" s="22" t="str">
        <f t="shared" si="0"/>
        <v>Bonus</v>
      </c>
      <c r="P3" s="45"/>
      <c r="Q3" s="45" t="s">
        <v>127</v>
      </c>
      <c r="R3" s="22">
        <v>3</v>
      </c>
      <c r="T3" s="22" t="s">
        <v>162</v>
      </c>
      <c r="U3" s="22">
        <v>65000</v>
      </c>
      <c r="Z3" s="22" t="s">
        <v>162</v>
      </c>
      <c r="AA3" s="22">
        <v>5</v>
      </c>
      <c r="AB3" s="22">
        <v>1</v>
      </c>
    </row>
    <row r="4" spans="1:28" x14ac:dyDescent="0.25">
      <c r="A4" s="22">
        <v>4</v>
      </c>
      <c r="B4" s="22" t="s">
        <v>155</v>
      </c>
      <c r="C4" s="22" t="s">
        <v>152</v>
      </c>
      <c r="D4" s="22" t="s">
        <v>132</v>
      </c>
      <c r="E4" s="22" t="s">
        <v>156</v>
      </c>
      <c r="F4" s="34">
        <v>43605</v>
      </c>
      <c r="G4" s="22">
        <v>50000</v>
      </c>
      <c r="H4" s="22" t="s">
        <v>150</v>
      </c>
      <c r="I4" s="34">
        <v>45658</v>
      </c>
      <c r="J4" s="22" t="s">
        <v>125</v>
      </c>
      <c r="K4" s="34">
        <v>45662</v>
      </c>
      <c r="L4" s="22">
        <v>4</v>
      </c>
      <c r="M4" s="34">
        <v>45371</v>
      </c>
      <c r="N4" s="22" t="s">
        <v>157</v>
      </c>
      <c r="O4" s="22" t="str">
        <f t="shared" si="0"/>
        <v>Bonus</v>
      </c>
      <c r="P4" s="45"/>
      <c r="Q4" s="45" t="s">
        <v>178</v>
      </c>
      <c r="R4" s="22">
        <v>2</v>
      </c>
      <c r="T4" s="22" t="s">
        <v>127</v>
      </c>
      <c r="U4" s="22">
        <v>56666.666666666599</v>
      </c>
      <c r="Z4" s="22" t="s">
        <v>130</v>
      </c>
      <c r="AA4" s="22">
        <v>5</v>
      </c>
      <c r="AB4" s="22">
        <v>1</v>
      </c>
    </row>
    <row r="5" spans="1:28" x14ac:dyDescent="0.25">
      <c r="A5" s="22">
        <v>5</v>
      </c>
      <c r="B5" s="22" t="s">
        <v>131</v>
      </c>
      <c r="C5" s="22" t="s">
        <v>148</v>
      </c>
      <c r="D5" s="22" t="s">
        <v>130</v>
      </c>
      <c r="E5" s="22" t="s">
        <v>158</v>
      </c>
      <c r="F5" s="34">
        <v>44969</v>
      </c>
      <c r="G5" s="22">
        <v>75000</v>
      </c>
      <c r="H5" s="22" t="s">
        <v>150</v>
      </c>
      <c r="I5" s="34">
        <v>45658</v>
      </c>
      <c r="J5" s="22" t="s">
        <v>125</v>
      </c>
      <c r="K5" s="34">
        <v>45662</v>
      </c>
      <c r="L5" s="22">
        <v>5</v>
      </c>
      <c r="M5" s="34">
        <v>45394</v>
      </c>
      <c r="N5" s="22" t="s">
        <v>159</v>
      </c>
      <c r="O5" s="22" t="str">
        <f t="shared" si="0"/>
        <v>Bonus</v>
      </c>
      <c r="P5" s="45"/>
      <c r="Q5" s="45" t="s">
        <v>135</v>
      </c>
      <c r="R5" s="22">
        <v>3</v>
      </c>
      <c r="T5" s="22" t="s">
        <v>178</v>
      </c>
      <c r="U5" s="22">
        <v>57000</v>
      </c>
      <c r="Z5" s="22" t="s">
        <v>178</v>
      </c>
      <c r="AA5" s="22">
        <v>4</v>
      </c>
      <c r="AB5" s="22">
        <v>2</v>
      </c>
    </row>
    <row r="6" spans="1:28" x14ac:dyDescent="0.25">
      <c r="A6" s="22">
        <v>7</v>
      </c>
      <c r="B6" s="22" t="s">
        <v>161</v>
      </c>
      <c r="C6" s="22" t="s">
        <v>148</v>
      </c>
      <c r="D6" s="22" t="s">
        <v>162</v>
      </c>
      <c r="E6" s="22" t="s">
        <v>163</v>
      </c>
      <c r="F6" s="34">
        <v>43409</v>
      </c>
      <c r="G6" s="22">
        <v>82000</v>
      </c>
      <c r="H6" s="22" t="s">
        <v>150</v>
      </c>
      <c r="I6" s="34">
        <v>45658</v>
      </c>
      <c r="J6" s="22" t="s">
        <v>125</v>
      </c>
      <c r="K6" s="34">
        <v>45662</v>
      </c>
      <c r="L6" s="22">
        <v>5</v>
      </c>
      <c r="M6" s="34">
        <v>45422</v>
      </c>
      <c r="N6" s="22" t="s">
        <v>164</v>
      </c>
      <c r="O6" s="22" t="str">
        <f t="shared" si="0"/>
        <v>Bonus</v>
      </c>
      <c r="P6" s="45"/>
      <c r="Q6" s="45" t="s">
        <v>124</v>
      </c>
      <c r="R6" s="22">
        <v>3</v>
      </c>
      <c r="T6" s="22" t="s">
        <v>135</v>
      </c>
      <c r="U6" s="22">
        <v>59333.333333333299</v>
      </c>
      <c r="Z6" s="22" t="s">
        <v>132</v>
      </c>
      <c r="AA6" s="22">
        <v>4</v>
      </c>
      <c r="AB6" s="22">
        <v>2</v>
      </c>
    </row>
    <row r="7" spans="1:28" x14ac:dyDescent="0.25">
      <c r="A7" s="22">
        <v>8</v>
      </c>
      <c r="B7" s="22" t="s">
        <v>165</v>
      </c>
      <c r="C7" s="22" t="s">
        <v>152</v>
      </c>
      <c r="D7" s="22" t="s">
        <v>130</v>
      </c>
      <c r="E7" s="22" t="s">
        <v>166</v>
      </c>
      <c r="F7" s="34">
        <v>44737</v>
      </c>
      <c r="G7" s="22">
        <v>68000</v>
      </c>
      <c r="H7" s="22" t="s">
        <v>150</v>
      </c>
      <c r="I7" s="34">
        <v>45658</v>
      </c>
      <c r="J7" s="22" t="s">
        <v>125</v>
      </c>
      <c r="K7" s="34">
        <v>45662</v>
      </c>
      <c r="L7" s="22">
        <v>4</v>
      </c>
      <c r="M7" s="34">
        <v>45434</v>
      </c>
      <c r="N7" s="22" t="s">
        <v>167</v>
      </c>
      <c r="O7" s="22" t="str">
        <f t="shared" si="0"/>
        <v>Bonus</v>
      </c>
      <c r="P7" s="45"/>
      <c r="Q7" s="45" t="s">
        <v>162</v>
      </c>
      <c r="R7" s="22">
        <v>2</v>
      </c>
      <c r="T7" s="22" t="s">
        <v>130</v>
      </c>
      <c r="U7" s="22">
        <v>74600</v>
      </c>
      <c r="Z7" s="22" t="s">
        <v>135</v>
      </c>
      <c r="AA7" s="22">
        <v>4</v>
      </c>
      <c r="AB7" s="22">
        <v>2</v>
      </c>
    </row>
    <row r="8" spans="1:28" x14ac:dyDescent="0.25">
      <c r="A8" s="22">
        <v>9</v>
      </c>
      <c r="B8" s="22" t="s">
        <v>168</v>
      </c>
      <c r="C8" s="22" t="s">
        <v>148</v>
      </c>
      <c r="D8" s="22" t="s">
        <v>127</v>
      </c>
      <c r="E8" s="22" t="s">
        <v>169</v>
      </c>
      <c r="F8" s="34">
        <v>43840</v>
      </c>
      <c r="G8" s="22">
        <v>60000</v>
      </c>
      <c r="H8" s="22" t="s">
        <v>150</v>
      </c>
      <c r="I8" s="34">
        <v>45658</v>
      </c>
      <c r="J8" s="22" t="s">
        <v>128</v>
      </c>
      <c r="K8" s="34">
        <v>45662</v>
      </c>
      <c r="L8" s="22">
        <v>3</v>
      </c>
      <c r="M8" s="34">
        <v>45444</v>
      </c>
      <c r="N8" s="22" t="s">
        <v>170</v>
      </c>
      <c r="O8" s="22" t="str">
        <f t="shared" si="0"/>
        <v>Bonus</v>
      </c>
      <c r="P8" s="45"/>
      <c r="Q8" s="45" t="s">
        <v>130</v>
      </c>
      <c r="R8" s="22">
        <v>5</v>
      </c>
      <c r="T8" s="22" t="s">
        <v>124</v>
      </c>
      <c r="U8" s="22">
        <v>62666.666666666599</v>
      </c>
      <c r="Z8" s="22" t="s">
        <v>130</v>
      </c>
      <c r="AA8" s="22">
        <v>4</v>
      </c>
      <c r="AB8" s="22">
        <v>2</v>
      </c>
    </row>
    <row r="9" spans="1:28" x14ac:dyDescent="0.25">
      <c r="A9" s="22">
        <v>10</v>
      </c>
      <c r="B9" s="22" t="s">
        <v>171</v>
      </c>
      <c r="C9" s="22" t="s">
        <v>152</v>
      </c>
      <c r="D9" s="22" t="s">
        <v>124</v>
      </c>
      <c r="E9" s="22" t="s">
        <v>172</v>
      </c>
      <c r="F9" s="34">
        <v>42961</v>
      </c>
      <c r="G9" s="22">
        <v>90000</v>
      </c>
      <c r="H9" s="22" t="s">
        <v>150</v>
      </c>
      <c r="I9" s="34">
        <v>45658</v>
      </c>
      <c r="J9" s="22" t="s">
        <v>125</v>
      </c>
      <c r="K9" s="34">
        <v>45662</v>
      </c>
      <c r="L9" s="22">
        <v>4</v>
      </c>
      <c r="M9" s="34">
        <v>45458</v>
      </c>
      <c r="N9" s="22" t="s">
        <v>173</v>
      </c>
      <c r="O9" s="22" t="str">
        <f t="shared" si="0"/>
        <v>Bonus</v>
      </c>
      <c r="U9">
        <f>SUM(U2:U8)</f>
        <v>422766.66666666651</v>
      </c>
      <c r="Z9" s="22" t="s">
        <v>124</v>
      </c>
      <c r="AA9" s="22">
        <v>4</v>
      </c>
      <c r="AB9" s="22">
        <v>2</v>
      </c>
    </row>
    <row r="10" spans="1:28" x14ac:dyDescent="0.25">
      <c r="A10" s="22">
        <v>11</v>
      </c>
      <c r="B10" s="22" t="s">
        <v>174</v>
      </c>
      <c r="C10" s="22" t="s">
        <v>148</v>
      </c>
      <c r="D10" s="22" t="s">
        <v>135</v>
      </c>
      <c r="E10" s="22" t="s">
        <v>175</v>
      </c>
      <c r="F10" s="34">
        <v>43527</v>
      </c>
      <c r="G10" s="22">
        <v>85000</v>
      </c>
      <c r="H10" s="22" t="s">
        <v>150</v>
      </c>
      <c r="I10" s="34">
        <v>45659</v>
      </c>
      <c r="J10" s="22" t="s">
        <v>125</v>
      </c>
      <c r="K10" s="34">
        <v>45693</v>
      </c>
      <c r="L10" s="22">
        <v>5</v>
      </c>
      <c r="M10" s="34">
        <v>45478</v>
      </c>
      <c r="N10" s="22" t="s">
        <v>176</v>
      </c>
      <c r="O10" s="22" t="str">
        <f t="shared" si="0"/>
        <v>Bonus</v>
      </c>
      <c r="Z10" s="22" t="s">
        <v>127</v>
      </c>
      <c r="AA10" s="22">
        <v>3</v>
      </c>
      <c r="AB10" s="22">
        <v>3</v>
      </c>
    </row>
    <row r="11" spans="1:28" x14ac:dyDescent="0.25">
      <c r="A11" s="22">
        <v>13</v>
      </c>
      <c r="B11" s="22" t="s">
        <v>181</v>
      </c>
      <c r="C11" s="22" t="s">
        <v>148</v>
      </c>
      <c r="D11" s="22" t="s">
        <v>130</v>
      </c>
      <c r="E11" s="22" t="s">
        <v>182</v>
      </c>
      <c r="F11" s="34">
        <v>43435</v>
      </c>
      <c r="G11" s="22">
        <v>70000</v>
      </c>
      <c r="H11" s="22" t="s">
        <v>150</v>
      </c>
      <c r="I11" s="34">
        <v>45659</v>
      </c>
      <c r="J11" s="22" t="s">
        <v>125</v>
      </c>
      <c r="K11" s="34">
        <v>45693</v>
      </c>
      <c r="L11" s="22">
        <v>4</v>
      </c>
      <c r="M11" s="34">
        <v>45506</v>
      </c>
      <c r="N11" s="22" t="s">
        <v>183</v>
      </c>
      <c r="O11" s="22" t="str">
        <f t="shared" si="0"/>
        <v>Bonus</v>
      </c>
      <c r="Z11" s="22" t="s">
        <v>162</v>
      </c>
      <c r="AA11" s="22">
        <v>3</v>
      </c>
      <c r="AB11" s="22">
        <v>3</v>
      </c>
    </row>
    <row r="12" spans="1:28" x14ac:dyDescent="0.25">
      <c r="A12" s="22">
        <v>16</v>
      </c>
      <c r="B12" s="22" t="s">
        <v>191</v>
      </c>
      <c r="C12" s="22" t="s">
        <v>148</v>
      </c>
      <c r="D12" s="22" t="s">
        <v>127</v>
      </c>
      <c r="E12" s="22" t="s">
        <v>192</v>
      </c>
      <c r="F12" s="34">
        <v>43730</v>
      </c>
      <c r="G12" s="22">
        <v>58000</v>
      </c>
      <c r="H12" s="22" t="s">
        <v>186</v>
      </c>
      <c r="I12" s="34">
        <v>45659</v>
      </c>
      <c r="J12" s="22" t="s">
        <v>125</v>
      </c>
      <c r="K12" s="34">
        <v>45693</v>
      </c>
      <c r="L12" s="22">
        <v>3</v>
      </c>
      <c r="M12" s="34">
        <v>45560</v>
      </c>
      <c r="N12" s="22" t="s">
        <v>193</v>
      </c>
      <c r="O12" s="22" t="str">
        <f t="shared" si="0"/>
        <v>Bonus</v>
      </c>
    </row>
    <row r="13" spans="1:28" x14ac:dyDescent="0.25">
      <c r="A13" s="22">
        <v>18</v>
      </c>
      <c r="B13" s="22" t="s">
        <v>197</v>
      </c>
      <c r="C13" s="22" t="s">
        <v>152</v>
      </c>
      <c r="D13" s="22" t="s">
        <v>124</v>
      </c>
      <c r="E13" s="22" t="s">
        <v>198</v>
      </c>
      <c r="F13" s="34">
        <v>43998</v>
      </c>
      <c r="G13" s="22">
        <v>50000</v>
      </c>
      <c r="H13" s="22" t="s">
        <v>150</v>
      </c>
      <c r="I13" s="34">
        <v>45659</v>
      </c>
      <c r="J13" s="22" t="s">
        <v>125</v>
      </c>
      <c r="K13" s="34">
        <v>45693</v>
      </c>
      <c r="L13" s="22">
        <v>4</v>
      </c>
      <c r="M13" s="34">
        <v>45593</v>
      </c>
      <c r="N13" s="22" t="s">
        <v>199</v>
      </c>
      <c r="O13" s="22" t="str">
        <f t="shared" si="0"/>
        <v>Bonus</v>
      </c>
    </row>
    <row r="14" spans="1:28" x14ac:dyDescent="0.25">
      <c r="A14" s="22">
        <v>19</v>
      </c>
      <c r="B14" s="22" t="s">
        <v>200</v>
      </c>
      <c r="C14" s="22" t="s">
        <v>148</v>
      </c>
      <c r="D14" s="22" t="s">
        <v>130</v>
      </c>
      <c r="E14" s="22" t="s">
        <v>201</v>
      </c>
      <c r="F14" s="34">
        <v>42743</v>
      </c>
      <c r="G14" s="22">
        <v>95000</v>
      </c>
      <c r="H14" s="22" t="s">
        <v>150</v>
      </c>
      <c r="I14" s="34">
        <v>45659</v>
      </c>
      <c r="J14" s="22" t="s">
        <v>125</v>
      </c>
      <c r="K14" s="34">
        <v>45693</v>
      </c>
      <c r="L14" s="22">
        <v>5</v>
      </c>
      <c r="M14" s="34">
        <v>45608</v>
      </c>
      <c r="N14" s="22" t="s">
        <v>202</v>
      </c>
      <c r="O14" s="22" t="str">
        <f t="shared" si="0"/>
        <v>Bonus</v>
      </c>
    </row>
    <row r="15" spans="1:28" x14ac:dyDescent="0.25">
      <c r="A15" s="22">
        <v>20</v>
      </c>
      <c r="B15" s="22" t="s">
        <v>203</v>
      </c>
      <c r="C15" s="22" t="s">
        <v>152</v>
      </c>
      <c r="D15" s="22" t="s">
        <v>178</v>
      </c>
      <c r="E15" s="22" t="s">
        <v>204</v>
      </c>
      <c r="F15" s="34">
        <v>43217</v>
      </c>
      <c r="G15" s="22">
        <v>72000</v>
      </c>
      <c r="H15" s="22" t="s">
        <v>150</v>
      </c>
      <c r="I15" s="34">
        <v>45659</v>
      </c>
      <c r="J15" s="22" t="s">
        <v>128</v>
      </c>
      <c r="K15" s="34">
        <v>45693</v>
      </c>
      <c r="L15" s="22">
        <v>4</v>
      </c>
      <c r="M15" s="34">
        <v>45627</v>
      </c>
      <c r="N15" s="22" t="s">
        <v>205</v>
      </c>
      <c r="O15" s="22" t="str">
        <f t="shared" si="0"/>
        <v>Bonus</v>
      </c>
    </row>
    <row r="16" spans="1:28" x14ac:dyDescent="0.25">
      <c r="A16" s="22">
        <v>12</v>
      </c>
      <c r="B16" s="22" t="s">
        <v>177</v>
      </c>
      <c r="C16" s="22" t="s">
        <v>152</v>
      </c>
      <c r="D16" s="22" t="s">
        <v>178</v>
      </c>
      <c r="E16" s="22" t="s">
        <v>179</v>
      </c>
      <c r="F16" s="34">
        <v>44843</v>
      </c>
      <c r="G16" s="22">
        <v>42000</v>
      </c>
      <c r="H16" s="22" t="s">
        <v>150</v>
      </c>
      <c r="I16" s="34">
        <v>45659</v>
      </c>
      <c r="J16" s="22" t="s">
        <v>160</v>
      </c>
      <c r="K16" s="34">
        <v>45693</v>
      </c>
      <c r="L16" s="22">
        <v>4</v>
      </c>
      <c r="M16" s="34">
        <v>45491</v>
      </c>
      <c r="N16" s="22" t="s">
        <v>180</v>
      </c>
      <c r="O16" s="22" t="str">
        <f t="shared" si="0"/>
        <v>No Bonus</v>
      </c>
    </row>
    <row r="17" spans="1:15" x14ac:dyDescent="0.25">
      <c r="A17" s="22">
        <v>14</v>
      </c>
      <c r="B17" s="22" t="s">
        <v>184</v>
      </c>
      <c r="C17" s="22" t="s">
        <v>148</v>
      </c>
      <c r="D17" s="22" t="s">
        <v>162</v>
      </c>
      <c r="E17" s="22" t="s">
        <v>185</v>
      </c>
      <c r="F17" s="34">
        <v>44303</v>
      </c>
      <c r="G17" s="22">
        <v>48000</v>
      </c>
      <c r="H17" s="22" t="s">
        <v>186</v>
      </c>
      <c r="I17" s="34">
        <v>45659</v>
      </c>
      <c r="J17" s="22" t="s">
        <v>128</v>
      </c>
      <c r="K17" s="34">
        <v>45693</v>
      </c>
      <c r="L17" s="22">
        <v>3</v>
      </c>
      <c r="M17" s="34">
        <v>45524</v>
      </c>
      <c r="N17" s="22" t="s">
        <v>187</v>
      </c>
      <c r="O17" s="22" t="str">
        <f t="shared" si="0"/>
        <v>No Bonus</v>
      </c>
    </row>
    <row r="18" spans="1:15" x14ac:dyDescent="0.25">
      <c r="A18" s="22">
        <v>15</v>
      </c>
      <c r="B18" s="22" t="s">
        <v>188</v>
      </c>
      <c r="C18" s="22" t="s">
        <v>152</v>
      </c>
      <c r="D18" s="22" t="s">
        <v>132</v>
      </c>
      <c r="E18" s="22" t="s">
        <v>189</v>
      </c>
      <c r="F18" s="34">
        <v>45112</v>
      </c>
      <c r="G18" s="22">
        <v>45000</v>
      </c>
      <c r="H18" s="22" t="s">
        <v>150</v>
      </c>
      <c r="I18" s="34">
        <v>45659</v>
      </c>
      <c r="J18" s="22" t="s">
        <v>125</v>
      </c>
      <c r="K18" s="34">
        <v>45693</v>
      </c>
      <c r="L18" s="22">
        <v>4</v>
      </c>
      <c r="M18" s="34">
        <v>45542</v>
      </c>
      <c r="N18" s="22" t="s">
        <v>190</v>
      </c>
      <c r="O18" s="22" t="str">
        <f t="shared" si="0"/>
        <v>No Bonus</v>
      </c>
    </row>
    <row r="19" spans="1:15" x14ac:dyDescent="0.25">
      <c r="A19" s="22">
        <v>17</v>
      </c>
      <c r="B19" s="22" t="s">
        <v>194</v>
      </c>
      <c r="C19" s="22" t="s">
        <v>148</v>
      </c>
      <c r="D19" s="22" t="s">
        <v>135</v>
      </c>
      <c r="E19" s="22" t="s">
        <v>195</v>
      </c>
      <c r="F19" s="34">
        <v>44895</v>
      </c>
      <c r="G19" s="22">
        <v>47000</v>
      </c>
      <c r="H19" s="22" t="s">
        <v>150</v>
      </c>
      <c r="I19" s="34">
        <v>45659</v>
      </c>
      <c r="J19" s="22" t="s">
        <v>160</v>
      </c>
      <c r="K19" s="34">
        <v>45693</v>
      </c>
      <c r="L19" s="22">
        <v>4</v>
      </c>
      <c r="M19" s="34">
        <v>45575</v>
      </c>
      <c r="N19" s="22" t="s">
        <v>196</v>
      </c>
      <c r="O19" s="22" t="str">
        <f t="shared" si="0"/>
        <v>No Bonus</v>
      </c>
    </row>
    <row r="20" spans="1:15" hidden="1" x14ac:dyDescent="0.25">
      <c r="G20">
        <f>SUM(G2:G19)</f>
        <v>1154000</v>
      </c>
    </row>
  </sheetData>
  <autoFilter ref="A1:O20" xr:uid="{018CA9AC-2824-4936-87CE-56187FD4EFCD}">
    <filterColumn colId="14">
      <customFilters>
        <customFilter operator="notEqual" val=" "/>
      </customFilters>
    </filterColumn>
    <sortState xmlns:xlrd2="http://schemas.microsoft.com/office/spreadsheetml/2017/richdata2" ref="A2:O19">
      <sortCondition ref="O1:O20"/>
    </sortState>
  </autoFilter>
  <sortState xmlns:xlrd2="http://schemas.microsoft.com/office/spreadsheetml/2017/richdata2" ref="A2:R20">
    <sortCondition ref="O1:O20"/>
  </sortState>
  <dataValidations count="1">
    <dataValidation type="list" allowBlank="1" showInputMessage="1" showErrorMessage="1" sqref="J22:J39" xr:uid="{CFAFB9E1-3115-4092-A6D9-448963B4CEE2}">
      <formula1>$A$2:$A$19</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72DA5-7FCE-4E8D-8559-49DB9B8B644D}">
  <dimension ref="A1:Y41"/>
  <sheetViews>
    <sheetView tabSelected="1" topLeftCell="G1" workbookViewId="0">
      <selection activeCell="Q25" sqref="Q25"/>
    </sheetView>
  </sheetViews>
  <sheetFormatPr defaultRowHeight="15" x14ac:dyDescent="0.25"/>
  <cols>
    <col min="1" max="1" width="17.28515625" bestFit="1" customWidth="1"/>
    <col min="5" max="5" width="14.85546875" bestFit="1" customWidth="1"/>
    <col min="7" max="7" width="11.85546875" bestFit="1" customWidth="1"/>
    <col min="9" max="9" width="18.28515625" bestFit="1" customWidth="1"/>
    <col min="11" max="11" width="18.28515625" bestFit="1" customWidth="1"/>
    <col min="12" max="13" width="14.42578125" bestFit="1" customWidth="1"/>
    <col min="14" max="14" width="12.7109375" bestFit="1" customWidth="1"/>
    <col min="15" max="15" width="20" bestFit="1" customWidth="1"/>
    <col min="18" max="18" width="13.140625" bestFit="1" customWidth="1"/>
    <col min="19" max="19" width="14.5703125" bestFit="1" customWidth="1"/>
    <col min="20" max="20" width="7" bestFit="1" customWidth="1"/>
    <col min="21" max="21" width="13.140625" bestFit="1" customWidth="1"/>
    <col min="22" max="22" width="14.5703125" bestFit="1" customWidth="1"/>
    <col min="24" max="24" width="13.140625" bestFit="1" customWidth="1"/>
    <col min="25" max="25" width="23.7109375" bestFit="1" customWidth="1"/>
  </cols>
  <sheetData>
    <row r="1" spans="1:22" ht="15.75" x14ac:dyDescent="0.25">
      <c r="A1" s="56" t="s">
        <v>1827</v>
      </c>
      <c r="B1" s="56" t="s">
        <v>1903</v>
      </c>
      <c r="C1" s="56" t="s">
        <v>208</v>
      </c>
      <c r="D1" s="56" t="s">
        <v>1745</v>
      </c>
      <c r="E1" s="56" t="s">
        <v>1904</v>
      </c>
      <c r="F1" s="56" t="s">
        <v>1905</v>
      </c>
      <c r="G1" s="56" t="s">
        <v>1906</v>
      </c>
      <c r="H1" s="56" t="s">
        <v>213</v>
      </c>
      <c r="I1" s="56" t="s">
        <v>1907</v>
      </c>
      <c r="J1" s="56" t="s">
        <v>1908</v>
      </c>
      <c r="K1" s="56" t="s">
        <v>1909</v>
      </c>
      <c r="L1" s="56" t="s">
        <v>1910</v>
      </c>
      <c r="M1" s="56" t="s">
        <v>1911</v>
      </c>
      <c r="N1" s="56" t="s">
        <v>1912</v>
      </c>
      <c r="O1" s="56" t="s">
        <v>1913</v>
      </c>
      <c r="P1" s="56" t="s">
        <v>1745</v>
      </c>
    </row>
    <row r="2" spans="1:22" x14ac:dyDescent="0.25">
      <c r="A2" s="22" t="s">
        <v>1764</v>
      </c>
      <c r="B2" s="22">
        <v>28</v>
      </c>
      <c r="C2" s="22" t="s">
        <v>148</v>
      </c>
      <c r="D2" s="22" t="s">
        <v>262</v>
      </c>
      <c r="E2" s="22" t="s">
        <v>1854</v>
      </c>
      <c r="F2" s="22">
        <v>25000</v>
      </c>
      <c r="G2" s="34">
        <v>44931</v>
      </c>
      <c r="H2" s="22" t="s">
        <v>150</v>
      </c>
      <c r="I2" s="34">
        <v>45658</v>
      </c>
      <c r="J2" s="22">
        <v>5000</v>
      </c>
      <c r="K2" s="22" t="s">
        <v>1855</v>
      </c>
      <c r="L2" s="22">
        <v>500000</v>
      </c>
      <c r="M2" s="22" t="s">
        <v>1856</v>
      </c>
      <c r="N2" s="22" t="s">
        <v>1857</v>
      </c>
      <c r="O2" s="22" t="s">
        <v>1858</v>
      </c>
      <c r="P2" s="22" t="s">
        <v>262</v>
      </c>
    </row>
    <row r="3" spans="1:22" x14ac:dyDescent="0.25">
      <c r="A3" s="22" t="s">
        <v>1766</v>
      </c>
      <c r="B3" s="22">
        <v>35</v>
      </c>
      <c r="C3" s="22" t="s">
        <v>148</v>
      </c>
      <c r="D3" s="22" t="s">
        <v>267</v>
      </c>
      <c r="E3" s="22" t="s">
        <v>1859</v>
      </c>
      <c r="F3" s="22">
        <v>42000</v>
      </c>
      <c r="G3" s="34">
        <v>44936</v>
      </c>
      <c r="H3" s="22" t="s">
        <v>150</v>
      </c>
      <c r="I3" s="34">
        <v>45658</v>
      </c>
      <c r="J3" s="22">
        <v>2000</v>
      </c>
      <c r="K3" s="22" t="s">
        <v>1860</v>
      </c>
      <c r="L3" s="22">
        <v>200000</v>
      </c>
      <c r="M3" s="22" t="s">
        <v>1861</v>
      </c>
      <c r="N3" s="22" t="s">
        <v>1857</v>
      </c>
      <c r="O3" s="22" t="s">
        <v>1862</v>
      </c>
      <c r="P3" s="22" t="s">
        <v>262</v>
      </c>
      <c r="R3" s="22" t="s">
        <v>1914</v>
      </c>
      <c r="S3" s="22" t="s">
        <v>1915</v>
      </c>
    </row>
    <row r="4" spans="1:22" x14ac:dyDescent="0.25">
      <c r="A4" s="22" t="s">
        <v>1863</v>
      </c>
      <c r="B4" s="22">
        <v>26</v>
      </c>
      <c r="C4" s="22" t="s">
        <v>152</v>
      </c>
      <c r="D4" s="22" t="s">
        <v>272</v>
      </c>
      <c r="E4" s="22" t="s">
        <v>1854</v>
      </c>
      <c r="F4" s="22">
        <v>18000</v>
      </c>
      <c r="G4" s="34">
        <v>44941</v>
      </c>
      <c r="H4" s="22" t="s">
        <v>1864</v>
      </c>
      <c r="I4" s="34">
        <v>45659</v>
      </c>
      <c r="J4" s="22">
        <v>3000</v>
      </c>
      <c r="K4" s="22" t="s">
        <v>1855</v>
      </c>
      <c r="L4" s="22">
        <v>300000</v>
      </c>
      <c r="M4" s="22" t="s">
        <v>1865</v>
      </c>
      <c r="N4" s="22" t="s">
        <v>1866</v>
      </c>
      <c r="O4" s="22" t="s">
        <v>1867</v>
      </c>
      <c r="P4" s="22" t="s">
        <v>262</v>
      </c>
      <c r="R4" s="22">
        <v>40</v>
      </c>
      <c r="S4" s="22">
        <v>1535000</v>
      </c>
    </row>
    <row r="5" spans="1:22" x14ac:dyDescent="0.25">
      <c r="A5" s="22" t="s">
        <v>1868</v>
      </c>
      <c r="B5" s="22">
        <v>30</v>
      </c>
      <c r="C5" s="22" t="s">
        <v>152</v>
      </c>
      <c r="D5" s="22" t="s">
        <v>252</v>
      </c>
      <c r="E5" s="22" t="s">
        <v>1854</v>
      </c>
      <c r="F5" s="22">
        <v>32000</v>
      </c>
      <c r="G5" s="34">
        <v>44946</v>
      </c>
      <c r="H5" s="22" t="s">
        <v>150</v>
      </c>
      <c r="I5" s="34">
        <v>45659</v>
      </c>
      <c r="J5" s="22">
        <v>1500</v>
      </c>
      <c r="K5" s="22" t="s">
        <v>1860</v>
      </c>
      <c r="L5" s="22">
        <v>150000</v>
      </c>
      <c r="M5" s="22" t="s">
        <v>1869</v>
      </c>
      <c r="N5" s="22" t="s">
        <v>1857</v>
      </c>
      <c r="O5" s="22" t="s">
        <v>1870</v>
      </c>
      <c r="P5" s="22" t="s">
        <v>262</v>
      </c>
    </row>
    <row r="6" spans="1:22" x14ac:dyDescent="0.25">
      <c r="A6" s="22" t="s">
        <v>1767</v>
      </c>
      <c r="B6" s="22">
        <v>40</v>
      </c>
      <c r="C6" s="22" t="s">
        <v>148</v>
      </c>
      <c r="D6" s="22" t="s">
        <v>1871</v>
      </c>
      <c r="E6" s="22" t="s">
        <v>1859</v>
      </c>
      <c r="F6" s="22">
        <v>55000</v>
      </c>
      <c r="G6" s="34">
        <v>44958</v>
      </c>
      <c r="H6" s="22" t="s">
        <v>150</v>
      </c>
      <c r="I6" s="34">
        <v>45660</v>
      </c>
      <c r="J6" s="22">
        <v>7000</v>
      </c>
      <c r="K6" s="22" t="s">
        <v>1855</v>
      </c>
      <c r="L6" s="22">
        <v>400000</v>
      </c>
      <c r="M6" s="22" t="s">
        <v>1872</v>
      </c>
      <c r="N6" s="22" t="s">
        <v>1873</v>
      </c>
      <c r="O6" s="22" t="s">
        <v>1874</v>
      </c>
      <c r="P6" s="22" t="s">
        <v>262</v>
      </c>
    </row>
    <row r="7" spans="1:22" x14ac:dyDescent="0.25">
      <c r="A7" s="22" t="s">
        <v>1750</v>
      </c>
      <c r="B7" s="22">
        <v>22</v>
      </c>
      <c r="C7" s="22" t="s">
        <v>148</v>
      </c>
      <c r="D7" s="22" t="s">
        <v>257</v>
      </c>
      <c r="E7" s="22" t="s">
        <v>1854</v>
      </c>
      <c r="F7" s="22">
        <v>12000</v>
      </c>
      <c r="G7" s="34">
        <v>44962</v>
      </c>
      <c r="H7" s="22" t="s">
        <v>150</v>
      </c>
      <c r="I7" s="34">
        <v>45660</v>
      </c>
      <c r="J7" s="22">
        <v>2500</v>
      </c>
      <c r="K7" s="22" t="s">
        <v>1860</v>
      </c>
      <c r="L7" s="22">
        <v>600000</v>
      </c>
      <c r="M7" s="22" t="s">
        <v>1856</v>
      </c>
      <c r="N7" s="22" t="s">
        <v>1857</v>
      </c>
      <c r="O7" s="22" t="s">
        <v>1858</v>
      </c>
      <c r="P7" s="22" t="s">
        <v>262</v>
      </c>
      <c r="R7" s="58" t="s">
        <v>115</v>
      </c>
      <c r="S7" s="22" t="s">
        <v>1915</v>
      </c>
      <c r="U7" s="58" t="s">
        <v>115</v>
      </c>
      <c r="V7" s="22" t="s">
        <v>1915</v>
      </c>
    </row>
    <row r="8" spans="1:22" x14ac:dyDescent="0.25">
      <c r="A8" s="22" t="s">
        <v>1875</v>
      </c>
      <c r="B8" s="22">
        <v>27</v>
      </c>
      <c r="C8" s="22" t="s">
        <v>152</v>
      </c>
      <c r="D8" s="22" t="s">
        <v>262</v>
      </c>
      <c r="E8" s="22" t="s">
        <v>1854</v>
      </c>
      <c r="F8" s="22">
        <v>27000</v>
      </c>
      <c r="G8" s="34">
        <v>44967</v>
      </c>
      <c r="H8" s="22" t="s">
        <v>1864</v>
      </c>
      <c r="I8" s="34">
        <v>45661</v>
      </c>
      <c r="J8" s="22">
        <v>4000</v>
      </c>
      <c r="K8" s="22" t="s">
        <v>1855</v>
      </c>
      <c r="L8" s="22">
        <v>250000</v>
      </c>
      <c r="M8" s="22" t="s">
        <v>1861</v>
      </c>
      <c r="N8" s="22" t="s">
        <v>1866</v>
      </c>
      <c r="O8" s="22" t="s">
        <v>1862</v>
      </c>
      <c r="P8" s="22" t="s">
        <v>262</v>
      </c>
      <c r="R8" s="59" t="s">
        <v>1778</v>
      </c>
      <c r="S8" s="22">
        <v>70000</v>
      </c>
      <c r="U8" s="59" t="s">
        <v>1858</v>
      </c>
      <c r="V8" s="22">
        <v>227000</v>
      </c>
    </row>
    <row r="9" spans="1:22" x14ac:dyDescent="0.25">
      <c r="A9" s="22" t="s">
        <v>1876</v>
      </c>
      <c r="B9" s="22">
        <v>34</v>
      </c>
      <c r="C9" s="22" t="s">
        <v>148</v>
      </c>
      <c r="D9" s="22" t="s">
        <v>267</v>
      </c>
      <c r="E9" s="22" t="s">
        <v>1859</v>
      </c>
      <c r="F9" s="22">
        <v>48000</v>
      </c>
      <c r="G9" s="34">
        <v>44972</v>
      </c>
      <c r="H9" s="22" t="s">
        <v>150</v>
      </c>
      <c r="I9" s="34">
        <v>45661</v>
      </c>
      <c r="J9" s="22">
        <v>1800</v>
      </c>
      <c r="K9" s="22" t="s">
        <v>1860</v>
      </c>
      <c r="L9" s="22">
        <v>350000</v>
      </c>
      <c r="M9" s="22" t="s">
        <v>1865</v>
      </c>
      <c r="N9" s="22" t="s">
        <v>1857</v>
      </c>
      <c r="O9" s="22" t="s">
        <v>1867</v>
      </c>
      <c r="P9" s="22" t="s">
        <v>262</v>
      </c>
      <c r="R9" s="59" t="s">
        <v>1886</v>
      </c>
      <c r="S9" s="22">
        <v>65000</v>
      </c>
      <c r="U9" s="59" t="s">
        <v>1867</v>
      </c>
      <c r="V9" s="22">
        <v>287000</v>
      </c>
    </row>
    <row r="10" spans="1:22" x14ac:dyDescent="0.25">
      <c r="A10" s="22" t="s">
        <v>1877</v>
      </c>
      <c r="B10" s="22">
        <v>29</v>
      </c>
      <c r="C10" s="22" t="s">
        <v>152</v>
      </c>
      <c r="D10" s="22" t="s">
        <v>272</v>
      </c>
      <c r="E10" s="22" t="s">
        <v>1854</v>
      </c>
      <c r="F10" s="22">
        <v>31000</v>
      </c>
      <c r="G10" s="34">
        <v>44977</v>
      </c>
      <c r="H10" s="22" t="s">
        <v>150</v>
      </c>
      <c r="I10" s="34">
        <v>45662</v>
      </c>
      <c r="J10" s="22">
        <v>6000</v>
      </c>
      <c r="K10" s="22" t="s">
        <v>1855</v>
      </c>
      <c r="L10" s="22">
        <v>180000</v>
      </c>
      <c r="M10" s="22" t="s">
        <v>1869</v>
      </c>
      <c r="N10" s="22" t="s">
        <v>1857</v>
      </c>
      <c r="O10" s="22" t="s">
        <v>1870</v>
      </c>
      <c r="P10" s="22" t="s">
        <v>262</v>
      </c>
      <c r="R10" s="59" t="s">
        <v>1897</v>
      </c>
      <c r="S10" s="22">
        <v>63000</v>
      </c>
      <c r="U10" s="59" t="s">
        <v>1862</v>
      </c>
      <c r="V10" s="22">
        <v>286000</v>
      </c>
    </row>
    <row r="11" spans="1:22" x14ac:dyDescent="0.25">
      <c r="A11" s="22" t="s">
        <v>1878</v>
      </c>
      <c r="B11" s="22">
        <v>45</v>
      </c>
      <c r="C11" s="22" t="s">
        <v>148</v>
      </c>
      <c r="D11" s="22" t="s">
        <v>252</v>
      </c>
      <c r="E11" s="22" t="s">
        <v>1859</v>
      </c>
      <c r="F11" s="22">
        <v>60000</v>
      </c>
      <c r="G11" s="34">
        <v>44986</v>
      </c>
      <c r="H11" s="22" t="s">
        <v>150</v>
      </c>
      <c r="I11" s="34">
        <v>45662</v>
      </c>
      <c r="J11" s="22">
        <v>2200</v>
      </c>
      <c r="K11" s="22" t="s">
        <v>1860</v>
      </c>
      <c r="L11" s="22">
        <v>450000</v>
      </c>
      <c r="M11" s="22" t="s">
        <v>1872</v>
      </c>
      <c r="N11" s="22" t="s">
        <v>1873</v>
      </c>
      <c r="O11" s="22" t="s">
        <v>1874</v>
      </c>
      <c r="P11" s="22" t="s">
        <v>262</v>
      </c>
      <c r="R11" s="59" t="s">
        <v>1894</v>
      </c>
      <c r="S11" s="22">
        <v>61000</v>
      </c>
      <c r="U11" s="59" t="s">
        <v>1874</v>
      </c>
      <c r="V11" s="22">
        <v>406000</v>
      </c>
    </row>
    <row r="12" spans="1:22" x14ac:dyDescent="0.25">
      <c r="A12" s="22" t="s">
        <v>1879</v>
      </c>
      <c r="B12" s="22">
        <v>33</v>
      </c>
      <c r="C12" s="22" t="s">
        <v>152</v>
      </c>
      <c r="D12" s="22" t="s">
        <v>1871</v>
      </c>
      <c r="E12" s="22" t="s">
        <v>1854</v>
      </c>
      <c r="F12" s="22">
        <v>35000</v>
      </c>
      <c r="G12" s="34">
        <v>44990</v>
      </c>
      <c r="H12" s="22" t="s">
        <v>150</v>
      </c>
      <c r="I12" s="34">
        <v>45663</v>
      </c>
      <c r="J12" s="22">
        <v>5500</v>
      </c>
      <c r="K12" s="22" t="s">
        <v>1855</v>
      </c>
      <c r="L12" s="22">
        <v>700000</v>
      </c>
      <c r="M12" s="22" t="s">
        <v>1856</v>
      </c>
      <c r="N12" s="22" t="s">
        <v>1857</v>
      </c>
      <c r="O12" s="22" t="s">
        <v>1858</v>
      </c>
      <c r="P12" s="22" t="s">
        <v>262</v>
      </c>
      <c r="R12" s="59" t="s">
        <v>1878</v>
      </c>
      <c r="S12" s="22">
        <v>60000</v>
      </c>
      <c r="U12" s="59" t="s">
        <v>1870</v>
      </c>
      <c r="V12" s="22">
        <v>329000</v>
      </c>
    </row>
    <row r="13" spans="1:22" x14ac:dyDescent="0.25">
      <c r="A13" s="22" t="s">
        <v>1768</v>
      </c>
      <c r="B13" s="22">
        <v>25</v>
      </c>
      <c r="C13" s="22" t="s">
        <v>148</v>
      </c>
      <c r="D13" s="22" t="s">
        <v>257</v>
      </c>
      <c r="E13" s="22" t="s">
        <v>1854</v>
      </c>
      <c r="F13" s="22">
        <v>15000</v>
      </c>
      <c r="G13" s="34">
        <v>44995</v>
      </c>
      <c r="H13" s="22" t="s">
        <v>150</v>
      </c>
      <c r="I13" s="34">
        <v>45663</v>
      </c>
      <c r="J13" s="22">
        <v>2100</v>
      </c>
      <c r="K13" s="22" t="s">
        <v>1860</v>
      </c>
      <c r="L13" s="22">
        <v>220000</v>
      </c>
      <c r="M13" s="22" t="s">
        <v>1861</v>
      </c>
      <c r="N13" s="22" t="s">
        <v>1857</v>
      </c>
      <c r="O13" s="22" t="s">
        <v>1862</v>
      </c>
      <c r="P13" s="22" t="s">
        <v>262</v>
      </c>
      <c r="R13" s="59" t="s">
        <v>116</v>
      </c>
      <c r="S13" s="22">
        <v>319000</v>
      </c>
      <c r="U13" s="59" t="s">
        <v>116</v>
      </c>
      <c r="V13" s="22">
        <v>1535000</v>
      </c>
    </row>
    <row r="14" spans="1:22" x14ac:dyDescent="0.25">
      <c r="A14" s="22" t="s">
        <v>1880</v>
      </c>
      <c r="B14" s="22">
        <v>31</v>
      </c>
      <c r="C14" s="22" t="s">
        <v>152</v>
      </c>
      <c r="D14" s="22" t="s">
        <v>262</v>
      </c>
      <c r="E14" s="22" t="s">
        <v>1854</v>
      </c>
      <c r="F14" s="22">
        <v>40000</v>
      </c>
      <c r="G14" s="34">
        <v>45000</v>
      </c>
      <c r="H14" s="22" t="s">
        <v>1864</v>
      </c>
      <c r="I14" s="34">
        <v>45664</v>
      </c>
      <c r="J14" s="22">
        <v>3500</v>
      </c>
      <c r="K14" s="22" t="s">
        <v>1855</v>
      </c>
      <c r="L14" s="22">
        <v>330000</v>
      </c>
      <c r="M14" s="22" t="s">
        <v>1865</v>
      </c>
      <c r="N14" s="22" t="s">
        <v>1866</v>
      </c>
      <c r="O14" s="22" t="s">
        <v>1867</v>
      </c>
      <c r="P14" s="22" t="s">
        <v>262</v>
      </c>
    </row>
    <row r="15" spans="1:22" x14ac:dyDescent="0.25">
      <c r="A15" s="22" t="s">
        <v>1881</v>
      </c>
      <c r="B15" s="22">
        <v>37</v>
      </c>
      <c r="C15" s="22" t="s">
        <v>148</v>
      </c>
      <c r="D15" s="22" t="s">
        <v>267</v>
      </c>
      <c r="E15" s="22" t="s">
        <v>1859</v>
      </c>
      <c r="F15" s="22">
        <v>52000</v>
      </c>
      <c r="G15" s="34">
        <v>45005</v>
      </c>
      <c r="H15" s="22" t="s">
        <v>150</v>
      </c>
      <c r="I15" s="34">
        <v>45664</v>
      </c>
      <c r="J15" s="22">
        <v>1700</v>
      </c>
      <c r="K15" s="22" t="s">
        <v>1860</v>
      </c>
      <c r="L15" s="22">
        <v>160000</v>
      </c>
      <c r="M15" s="22" t="s">
        <v>1869</v>
      </c>
      <c r="N15" s="22" t="s">
        <v>1857</v>
      </c>
      <c r="O15" s="22" t="s">
        <v>1870</v>
      </c>
      <c r="P15" s="22" t="s">
        <v>262</v>
      </c>
    </row>
    <row r="16" spans="1:22" x14ac:dyDescent="0.25">
      <c r="A16" s="22" t="s">
        <v>1882</v>
      </c>
      <c r="B16" s="22">
        <v>24</v>
      </c>
      <c r="C16" s="22" t="s">
        <v>152</v>
      </c>
      <c r="D16" s="22" t="s">
        <v>272</v>
      </c>
      <c r="E16" s="22" t="s">
        <v>1854</v>
      </c>
      <c r="F16" s="22">
        <v>17000</v>
      </c>
      <c r="G16" s="34">
        <v>45017</v>
      </c>
      <c r="H16" s="22" t="s">
        <v>150</v>
      </c>
      <c r="I16" s="34">
        <v>45665</v>
      </c>
      <c r="J16" s="22">
        <v>8000</v>
      </c>
      <c r="K16" s="22" t="s">
        <v>1855</v>
      </c>
      <c r="L16" s="22">
        <v>500000</v>
      </c>
      <c r="M16" s="22" t="s">
        <v>1872</v>
      </c>
      <c r="N16" s="22" t="s">
        <v>1857</v>
      </c>
      <c r="O16" s="22" t="s">
        <v>1874</v>
      </c>
      <c r="P16" s="22" t="s">
        <v>262</v>
      </c>
      <c r="R16" s="58" t="s">
        <v>115</v>
      </c>
      <c r="S16" s="22" t="s">
        <v>1916</v>
      </c>
      <c r="U16" s="58" t="s">
        <v>115</v>
      </c>
      <c r="V16" s="22" t="s">
        <v>1917</v>
      </c>
    </row>
    <row r="17" spans="1:25" x14ac:dyDescent="0.25">
      <c r="A17" s="22" t="s">
        <v>1883</v>
      </c>
      <c r="B17" s="22">
        <v>42</v>
      </c>
      <c r="C17" s="22" t="s">
        <v>148</v>
      </c>
      <c r="D17" s="22" t="s">
        <v>252</v>
      </c>
      <c r="E17" s="22" t="s">
        <v>1859</v>
      </c>
      <c r="F17" s="22">
        <v>58000</v>
      </c>
      <c r="G17" s="34">
        <v>45021</v>
      </c>
      <c r="H17" s="22" t="s">
        <v>150</v>
      </c>
      <c r="I17" s="34">
        <v>45665</v>
      </c>
      <c r="J17" s="22">
        <v>2600</v>
      </c>
      <c r="K17" s="22" t="s">
        <v>1860</v>
      </c>
      <c r="L17" s="22">
        <v>800000</v>
      </c>
      <c r="M17" s="22" t="s">
        <v>1856</v>
      </c>
      <c r="N17" s="22" t="s">
        <v>1857</v>
      </c>
      <c r="O17" s="22" t="s">
        <v>1858</v>
      </c>
      <c r="P17" s="22" t="s">
        <v>262</v>
      </c>
      <c r="R17" s="59" t="s">
        <v>1750</v>
      </c>
      <c r="S17" s="22">
        <v>12000</v>
      </c>
      <c r="U17" s="60">
        <v>45658</v>
      </c>
      <c r="V17" s="22">
        <v>7000</v>
      </c>
      <c r="X17" s="58" t="s">
        <v>115</v>
      </c>
      <c r="Y17" s="22" t="s">
        <v>1914</v>
      </c>
    </row>
    <row r="18" spans="1:25" x14ac:dyDescent="0.25">
      <c r="A18" s="22" t="s">
        <v>1884</v>
      </c>
      <c r="B18" s="22">
        <v>28</v>
      </c>
      <c r="C18" s="22" t="s">
        <v>152</v>
      </c>
      <c r="D18" s="22" t="s">
        <v>1871</v>
      </c>
      <c r="E18" s="22" t="s">
        <v>1854</v>
      </c>
      <c r="F18" s="22">
        <v>26000</v>
      </c>
      <c r="G18" s="34">
        <v>45026</v>
      </c>
      <c r="H18" s="22" t="s">
        <v>1864</v>
      </c>
      <c r="I18" s="34">
        <v>45666</v>
      </c>
      <c r="J18" s="22">
        <v>4500</v>
      </c>
      <c r="K18" s="22" t="s">
        <v>1855</v>
      </c>
      <c r="L18" s="22">
        <v>260000</v>
      </c>
      <c r="M18" s="22" t="s">
        <v>1861</v>
      </c>
      <c r="N18" s="22" t="s">
        <v>1866</v>
      </c>
      <c r="O18" s="22" t="s">
        <v>1862</v>
      </c>
      <c r="P18" s="22" t="s">
        <v>262</v>
      </c>
      <c r="R18" s="59" t="s">
        <v>1752</v>
      </c>
      <c r="S18" s="22">
        <v>14000</v>
      </c>
      <c r="U18" s="60">
        <v>45659</v>
      </c>
      <c r="V18" s="22">
        <v>4500</v>
      </c>
      <c r="X18" s="59" t="s">
        <v>150</v>
      </c>
      <c r="Y18" s="22">
        <v>32</v>
      </c>
    </row>
    <row r="19" spans="1:25" x14ac:dyDescent="0.25">
      <c r="A19" s="22" t="s">
        <v>1839</v>
      </c>
      <c r="B19" s="22">
        <v>36</v>
      </c>
      <c r="C19" s="22" t="s">
        <v>148</v>
      </c>
      <c r="D19" s="22" t="s">
        <v>257</v>
      </c>
      <c r="E19" s="22" t="s">
        <v>1859</v>
      </c>
      <c r="F19" s="22">
        <v>47000</v>
      </c>
      <c r="G19" s="34">
        <v>45031</v>
      </c>
      <c r="H19" s="22" t="s">
        <v>150</v>
      </c>
      <c r="I19" s="34">
        <v>45666</v>
      </c>
      <c r="J19" s="22">
        <v>1900</v>
      </c>
      <c r="K19" s="22" t="s">
        <v>1860</v>
      </c>
      <c r="L19" s="22">
        <v>370000</v>
      </c>
      <c r="M19" s="22" t="s">
        <v>1865</v>
      </c>
      <c r="N19" s="22" t="s">
        <v>1857</v>
      </c>
      <c r="O19" s="22" t="s">
        <v>1867</v>
      </c>
      <c r="P19" s="22" t="s">
        <v>262</v>
      </c>
      <c r="R19" s="59" t="s">
        <v>1768</v>
      </c>
      <c r="S19" s="22">
        <v>15000</v>
      </c>
      <c r="U19" s="60">
        <v>45660</v>
      </c>
      <c r="V19" s="22">
        <v>9500</v>
      </c>
      <c r="X19" s="59" t="s">
        <v>1864</v>
      </c>
      <c r="Y19" s="22">
        <v>8</v>
      </c>
    </row>
    <row r="20" spans="1:25" x14ac:dyDescent="0.25">
      <c r="A20" s="22" t="s">
        <v>1885</v>
      </c>
      <c r="B20" s="22">
        <v>34</v>
      </c>
      <c r="C20" s="22" t="s">
        <v>152</v>
      </c>
      <c r="D20" s="22" t="s">
        <v>262</v>
      </c>
      <c r="E20" s="22" t="s">
        <v>1854</v>
      </c>
      <c r="F20" s="22">
        <v>33000</v>
      </c>
      <c r="G20" s="34">
        <v>45036</v>
      </c>
      <c r="H20" s="22" t="s">
        <v>150</v>
      </c>
      <c r="I20" s="34">
        <v>45667</v>
      </c>
      <c r="J20" s="22">
        <v>6500</v>
      </c>
      <c r="K20" s="22" t="s">
        <v>1855</v>
      </c>
      <c r="L20" s="22">
        <v>190000</v>
      </c>
      <c r="M20" s="22" t="s">
        <v>1869</v>
      </c>
      <c r="N20" s="22" t="s">
        <v>1873</v>
      </c>
      <c r="O20" s="22" t="s">
        <v>1870</v>
      </c>
      <c r="P20" s="22" t="s">
        <v>262</v>
      </c>
      <c r="R20" s="59" t="s">
        <v>116</v>
      </c>
      <c r="S20" s="22">
        <v>12000</v>
      </c>
      <c r="U20" s="60">
        <v>45661</v>
      </c>
      <c r="V20" s="22">
        <v>5800</v>
      </c>
      <c r="X20" s="59" t="s">
        <v>116</v>
      </c>
      <c r="Y20" s="22">
        <v>40</v>
      </c>
    </row>
    <row r="21" spans="1:25" x14ac:dyDescent="0.25">
      <c r="A21" s="22" t="s">
        <v>1886</v>
      </c>
      <c r="B21" s="22">
        <v>50</v>
      </c>
      <c r="C21" s="22" t="s">
        <v>148</v>
      </c>
      <c r="D21" s="22" t="s">
        <v>267</v>
      </c>
      <c r="E21" s="22" t="s">
        <v>1859</v>
      </c>
      <c r="F21" s="22">
        <v>65000</v>
      </c>
      <c r="G21" s="34">
        <v>45047</v>
      </c>
      <c r="H21" s="22" t="s">
        <v>150</v>
      </c>
      <c r="I21" s="34">
        <v>45667</v>
      </c>
      <c r="J21" s="22">
        <v>2300</v>
      </c>
      <c r="K21" s="22" t="s">
        <v>1860</v>
      </c>
      <c r="L21" s="22">
        <v>550000</v>
      </c>
      <c r="M21" s="22" t="s">
        <v>1872</v>
      </c>
      <c r="N21" s="22" t="s">
        <v>1857</v>
      </c>
      <c r="O21" s="22" t="s">
        <v>1874</v>
      </c>
      <c r="P21" s="22" t="s">
        <v>262</v>
      </c>
      <c r="U21" s="60">
        <v>45662</v>
      </c>
      <c r="V21" s="22">
        <v>8200</v>
      </c>
    </row>
    <row r="22" spans="1:25" x14ac:dyDescent="0.25">
      <c r="A22" s="22" t="s">
        <v>1752</v>
      </c>
      <c r="B22" s="22">
        <v>23</v>
      </c>
      <c r="C22" s="22" t="s">
        <v>152</v>
      </c>
      <c r="D22" s="22" t="s">
        <v>272</v>
      </c>
      <c r="E22" s="22" t="s">
        <v>1854</v>
      </c>
      <c r="F22" s="22">
        <v>14000</v>
      </c>
      <c r="G22" s="34">
        <v>45051</v>
      </c>
      <c r="H22" s="22" t="s">
        <v>150</v>
      </c>
      <c r="I22" s="34">
        <v>45668</v>
      </c>
      <c r="J22" s="22">
        <v>7200</v>
      </c>
      <c r="K22" s="22" t="s">
        <v>1855</v>
      </c>
      <c r="L22" s="22">
        <v>900000</v>
      </c>
      <c r="M22" s="22" t="s">
        <v>1856</v>
      </c>
      <c r="N22" s="22" t="s">
        <v>1857</v>
      </c>
      <c r="O22" s="22" t="s">
        <v>1858</v>
      </c>
      <c r="P22" s="22" t="s">
        <v>262</v>
      </c>
      <c r="U22" s="60">
        <v>45663</v>
      </c>
      <c r="V22" s="22">
        <v>7600</v>
      </c>
    </row>
    <row r="23" spans="1:25" x14ac:dyDescent="0.25">
      <c r="A23" s="22" t="s">
        <v>1887</v>
      </c>
      <c r="B23" s="22">
        <v>39</v>
      </c>
      <c r="C23" s="22" t="s">
        <v>148</v>
      </c>
      <c r="D23" s="22" t="s">
        <v>252</v>
      </c>
      <c r="E23" s="22" t="s">
        <v>1859</v>
      </c>
      <c r="F23" s="22">
        <v>54000</v>
      </c>
      <c r="G23" s="34">
        <v>45056</v>
      </c>
      <c r="H23" s="22" t="s">
        <v>150</v>
      </c>
      <c r="I23" s="34">
        <v>45668</v>
      </c>
      <c r="J23" s="22">
        <v>2400</v>
      </c>
      <c r="K23" s="22" t="s">
        <v>1860</v>
      </c>
      <c r="L23" s="22">
        <v>240000</v>
      </c>
      <c r="M23" s="22" t="s">
        <v>1861</v>
      </c>
      <c r="N23" s="22" t="s">
        <v>1857</v>
      </c>
      <c r="O23" s="22" t="s">
        <v>1862</v>
      </c>
      <c r="P23" s="22" t="s">
        <v>262</v>
      </c>
      <c r="U23" s="60">
        <v>45664</v>
      </c>
      <c r="V23" s="22">
        <v>5200</v>
      </c>
    </row>
    <row r="24" spans="1:25" x14ac:dyDescent="0.25">
      <c r="A24" s="22" t="s">
        <v>1888</v>
      </c>
      <c r="B24" s="22">
        <v>27</v>
      </c>
      <c r="C24" s="22" t="s">
        <v>152</v>
      </c>
      <c r="D24" s="22" t="s">
        <v>1871</v>
      </c>
      <c r="E24" s="22" t="s">
        <v>1854</v>
      </c>
      <c r="F24" s="22">
        <v>29000</v>
      </c>
      <c r="G24" s="34">
        <v>45061</v>
      </c>
      <c r="H24" s="22" t="s">
        <v>1864</v>
      </c>
      <c r="I24" s="34">
        <v>45669</v>
      </c>
      <c r="J24" s="22">
        <v>3800</v>
      </c>
      <c r="K24" s="22" t="s">
        <v>1855</v>
      </c>
      <c r="L24" s="22">
        <v>390000</v>
      </c>
      <c r="M24" s="22" t="s">
        <v>1865</v>
      </c>
      <c r="N24" s="22" t="s">
        <v>1866</v>
      </c>
      <c r="O24" s="22" t="s">
        <v>1867</v>
      </c>
      <c r="P24" s="22" t="s">
        <v>262</v>
      </c>
      <c r="U24" s="60">
        <v>45665</v>
      </c>
      <c r="V24" s="22">
        <v>10600</v>
      </c>
    </row>
    <row r="25" spans="1:25" x14ac:dyDescent="0.25">
      <c r="A25" s="22" t="s">
        <v>1774</v>
      </c>
      <c r="B25" s="22">
        <v>32</v>
      </c>
      <c r="C25" s="22" t="s">
        <v>148</v>
      </c>
      <c r="D25" s="22" t="s">
        <v>257</v>
      </c>
      <c r="E25" s="22" t="s">
        <v>1854</v>
      </c>
      <c r="F25" s="22">
        <v>36000</v>
      </c>
      <c r="G25" s="34">
        <v>45066</v>
      </c>
      <c r="H25" s="22" t="s">
        <v>150</v>
      </c>
      <c r="I25" s="34">
        <v>45669</v>
      </c>
      <c r="J25" s="22">
        <v>1600</v>
      </c>
      <c r="K25" s="22" t="s">
        <v>1860</v>
      </c>
      <c r="L25" s="22">
        <v>170000</v>
      </c>
      <c r="M25" s="22" t="s">
        <v>1869</v>
      </c>
      <c r="N25" s="22" t="s">
        <v>1857</v>
      </c>
      <c r="O25" s="22" t="s">
        <v>1870</v>
      </c>
      <c r="P25" s="22" t="s">
        <v>262</v>
      </c>
      <c r="U25" s="60">
        <v>45666</v>
      </c>
      <c r="V25" s="22">
        <v>6400</v>
      </c>
    </row>
    <row r="26" spans="1:25" x14ac:dyDescent="0.25">
      <c r="A26" s="22" t="s">
        <v>1889</v>
      </c>
      <c r="B26" s="22">
        <v>41</v>
      </c>
      <c r="C26" s="22" t="s">
        <v>152</v>
      </c>
      <c r="D26" s="22" t="s">
        <v>262</v>
      </c>
      <c r="E26" s="22" t="s">
        <v>1859</v>
      </c>
      <c r="F26" s="22">
        <v>57000</v>
      </c>
      <c r="G26" s="34">
        <v>45078</v>
      </c>
      <c r="H26" s="22" t="s">
        <v>150</v>
      </c>
      <c r="I26" s="34">
        <v>45670</v>
      </c>
      <c r="J26" s="22">
        <v>9000</v>
      </c>
      <c r="K26" s="22" t="s">
        <v>1855</v>
      </c>
      <c r="L26" s="22">
        <v>600000</v>
      </c>
      <c r="M26" s="22" t="s">
        <v>1872</v>
      </c>
      <c r="N26" s="22" t="s">
        <v>1857</v>
      </c>
      <c r="O26" s="22" t="s">
        <v>1874</v>
      </c>
      <c r="P26" s="22" t="s">
        <v>262</v>
      </c>
      <c r="U26" s="60">
        <v>45667</v>
      </c>
      <c r="V26" s="22">
        <v>8800</v>
      </c>
    </row>
    <row r="27" spans="1:25" x14ac:dyDescent="0.25">
      <c r="A27" s="22" t="s">
        <v>1890</v>
      </c>
      <c r="B27" s="22">
        <v>29</v>
      </c>
      <c r="C27" s="22" t="s">
        <v>148</v>
      </c>
      <c r="D27" s="22" t="s">
        <v>267</v>
      </c>
      <c r="E27" s="22" t="s">
        <v>1854</v>
      </c>
      <c r="F27" s="22">
        <v>28000</v>
      </c>
      <c r="G27" s="34">
        <v>45082</v>
      </c>
      <c r="H27" s="22" t="s">
        <v>150</v>
      </c>
      <c r="I27" s="34">
        <v>45670</v>
      </c>
      <c r="J27" s="22">
        <v>2700</v>
      </c>
      <c r="K27" s="22" t="s">
        <v>1860</v>
      </c>
      <c r="L27" s="22">
        <v>1000000</v>
      </c>
      <c r="M27" s="22" t="s">
        <v>1856</v>
      </c>
      <c r="N27" s="22" t="s">
        <v>1857</v>
      </c>
      <c r="O27" s="22" t="s">
        <v>1858</v>
      </c>
      <c r="P27" s="22" t="s">
        <v>262</v>
      </c>
      <c r="U27" s="60">
        <v>45668</v>
      </c>
      <c r="V27" s="22">
        <v>9600</v>
      </c>
    </row>
    <row r="28" spans="1:25" x14ac:dyDescent="0.25">
      <c r="A28" s="22" t="s">
        <v>1891</v>
      </c>
      <c r="B28" s="22">
        <v>35</v>
      </c>
      <c r="C28" s="22" t="s">
        <v>152</v>
      </c>
      <c r="D28" s="22" t="s">
        <v>272</v>
      </c>
      <c r="E28" s="22" t="s">
        <v>1859</v>
      </c>
      <c r="F28" s="22">
        <v>45000</v>
      </c>
      <c r="G28" s="34">
        <v>45087</v>
      </c>
      <c r="H28" s="22" t="s">
        <v>1864</v>
      </c>
      <c r="I28" s="34">
        <v>45671</v>
      </c>
      <c r="J28" s="22">
        <v>5000</v>
      </c>
      <c r="K28" s="22" t="s">
        <v>1855</v>
      </c>
      <c r="L28" s="22">
        <v>280000</v>
      </c>
      <c r="M28" s="22" t="s">
        <v>1861</v>
      </c>
      <c r="N28" s="22" t="s">
        <v>1873</v>
      </c>
      <c r="O28" s="22" t="s">
        <v>1862</v>
      </c>
      <c r="P28" s="22" t="s">
        <v>262</v>
      </c>
      <c r="U28" s="60">
        <v>45669</v>
      </c>
      <c r="V28" s="22">
        <v>5400</v>
      </c>
    </row>
    <row r="29" spans="1:25" x14ac:dyDescent="0.25">
      <c r="A29" s="22" t="s">
        <v>1892</v>
      </c>
      <c r="B29" s="22">
        <v>26</v>
      </c>
      <c r="C29" s="22" t="s">
        <v>148</v>
      </c>
      <c r="D29" s="22" t="s">
        <v>252</v>
      </c>
      <c r="E29" s="22" t="s">
        <v>1854</v>
      </c>
      <c r="F29" s="22">
        <v>19000</v>
      </c>
      <c r="G29" s="34">
        <v>45092</v>
      </c>
      <c r="H29" s="22" t="s">
        <v>150</v>
      </c>
      <c r="I29" s="34">
        <v>45671</v>
      </c>
      <c r="J29" s="22">
        <v>2000</v>
      </c>
      <c r="K29" s="22" t="s">
        <v>1860</v>
      </c>
      <c r="L29" s="22">
        <v>410000</v>
      </c>
      <c r="M29" s="22" t="s">
        <v>1865</v>
      </c>
      <c r="N29" s="22" t="s">
        <v>1857</v>
      </c>
      <c r="O29" s="22" t="s">
        <v>1867</v>
      </c>
      <c r="P29" s="22" t="s">
        <v>262</v>
      </c>
      <c r="U29" s="60">
        <v>45670</v>
      </c>
      <c r="V29" s="22">
        <v>11700</v>
      </c>
    </row>
    <row r="30" spans="1:25" x14ac:dyDescent="0.25">
      <c r="A30" s="22" t="s">
        <v>1893</v>
      </c>
      <c r="B30" s="22">
        <v>31</v>
      </c>
      <c r="C30" s="22" t="s">
        <v>152</v>
      </c>
      <c r="D30" s="22" t="s">
        <v>1871</v>
      </c>
      <c r="E30" s="22" t="s">
        <v>1854</v>
      </c>
      <c r="F30" s="22">
        <v>34000</v>
      </c>
      <c r="G30" s="34">
        <v>45097</v>
      </c>
      <c r="H30" s="22" t="s">
        <v>150</v>
      </c>
      <c r="I30" s="34">
        <v>45672</v>
      </c>
      <c r="J30" s="22">
        <v>6800</v>
      </c>
      <c r="K30" s="22" t="s">
        <v>1855</v>
      </c>
      <c r="L30" s="22">
        <v>200000</v>
      </c>
      <c r="M30" s="22" t="s">
        <v>1869</v>
      </c>
      <c r="N30" s="22" t="s">
        <v>1866</v>
      </c>
      <c r="O30" s="22" t="s">
        <v>1870</v>
      </c>
      <c r="P30" s="22" t="s">
        <v>262</v>
      </c>
      <c r="U30" s="60">
        <v>45671</v>
      </c>
      <c r="V30" s="22">
        <v>7000</v>
      </c>
    </row>
    <row r="31" spans="1:25" x14ac:dyDescent="0.25">
      <c r="A31" s="22" t="s">
        <v>1894</v>
      </c>
      <c r="B31" s="22">
        <v>44</v>
      </c>
      <c r="C31" s="22" t="s">
        <v>148</v>
      </c>
      <c r="D31" s="22" t="s">
        <v>257</v>
      </c>
      <c r="E31" s="22" t="s">
        <v>1859</v>
      </c>
      <c r="F31" s="22">
        <v>61000</v>
      </c>
      <c r="G31" s="34">
        <v>45108</v>
      </c>
      <c r="H31" s="22" t="s">
        <v>150</v>
      </c>
      <c r="I31" s="34">
        <v>45672</v>
      </c>
      <c r="J31" s="22">
        <v>2500</v>
      </c>
      <c r="K31" s="22" t="s">
        <v>1860</v>
      </c>
      <c r="L31" s="22">
        <v>650000</v>
      </c>
      <c r="M31" s="22" t="s">
        <v>1872</v>
      </c>
      <c r="N31" s="22" t="s">
        <v>1857</v>
      </c>
      <c r="O31" s="22" t="s">
        <v>1874</v>
      </c>
      <c r="P31" s="22" t="s">
        <v>262</v>
      </c>
      <c r="U31" s="60">
        <v>45672</v>
      </c>
      <c r="V31" s="22">
        <v>9300</v>
      </c>
    </row>
    <row r="32" spans="1:25" x14ac:dyDescent="0.25">
      <c r="A32" s="22" t="s">
        <v>1895</v>
      </c>
      <c r="B32" s="22">
        <v>24</v>
      </c>
      <c r="C32" s="22" t="s">
        <v>152</v>
      </c>
      <c r="D32" s="22" t="s">
        <v>262</v>
      </c>
      <c r="E32" s="22" t="s">
        <v>1854</v>
      </c>
      <c r="F32" s="22">
        <v>16000</v>
      </c>
      <c r="G32" s="34">
        <v>45112</v>
      </c>
      <c r="H32" s="22" t="s">
        <v>150</v>
      </c>
      <c r="I32" s="34">
        <v>45673</v>
      </c>
      <c r="J32" s="22">
        <v>7500</v>
      </c>
      <c r="K32" s="22" t="s">
        <v>1855</v>
      </c>
      <c r="L32" s="22">
        <v>1100000</v>
      </c>
      <c r="M32" s="22" t="s">
        <v>1856</v>
      </c>
      <c r="N32" s="22" t="s">
        <v>1857</v>
      </c>
      <c r="O32" s="22" t="s">
        <v>1858</v>
      </c>
      <c r="P32" s="22" t="s">
        <v>262</v>
      </c>
      <c r="U32" s="60">
        <v>45673</v>
      </c>
      <c r="V32" s="22">
        <v>10100</v>
      </c>
    </row>
    <row r="33" spans="1:22" x14ac:dyDescent="0.25">
      <c r="A33" s="22" t="s">
        <v>1770</v>
      </c>
      <c r="B33" s="22">
        <v>38</v>
      </c>
      <c r="C33" s="22" t="s">
        <v>148</v>
      </c>
      <c r="D33" s="22" t="s">
        <v>267</v>
      </c>
      <c r="E33" s="22" t="s">
        <v>1859</v>
      </c>
      <c r="F33" s="22">
        <v>50000</v>
      </c>
      <c r="G33" s="34">
        <v>45117</v>
      </c>
      <c r="H33" s="22" t="s">
        <v>150</v>
      </c>
      <c r="I33" s="34">
        <v>45673</v>
      </c>
      <c r="J33" s="22">
        <v>2600</v>
      </c>
      <c r="K33" s="22" t="s">
        <v>1860</v>
      </c>
      <c r="L33" s="22">
        <v>300000</v>
      </c>
      <c r="M33" s="22" t="s">
        <v>1861</v>
      </c>
      <c r="N33" s="22" t="s">
        <v>1857</v>
      </c>
      <c r="O33" s="22" t="s">
        <v>1862</v>
      </c>
      <c r="P33" s="22" t="s">
        <v>262</v>
      </c>
      <c r="U33" s="60">
        <v>45674</v>
      </c>
      <c r="V33" s="22">
        <v>6000</v>
      </c>
    </row>
    <row r="34" spans="1:22" x14ac:dyDescent="0.25">
      <c r="A34" s="22" t="s">
        <v>1896</v>
      </c>
      <c r="B34" s="22">
        <v>29</v>
      </c>
      <c r="C34" s="22" t="s">
        <v>152</v>
      </c>
      <c r="D34" s="22" t="s">
        <v>272</v>
      </c>
      <c r="E34" s="22" t="s">
        <v>1854</v>
      </c>
      <c r="F34" s="22">
        <v>30000</v>
      </c>
      <c r="G34" s="34">
        <v>45122</v>
      </c>
      <c r="H34" s="22" t="s">
        <v>1864</v>
      </c>
      <c r="I34" s="34">
        <v>45674</v>
      </c>
      <c r="J34" s="22">
        <v>4200</v>
      </c>
      <c r="K34" s="22" t="s">
        <v>1855</v>
      </c>
      <c r="L34" s="22">
        <v>430000</v>
      </c>
      <c r="M34" s="22" t="s">
        <v>1865</v>
      </c>
      <c r="N34" s="22" t="s">
        <v>1866</v>
      </c>
      <c r="O34" s="22" t="s">
        <v>1867</v>
      </c>
      <c r="P34" s="22" t="s">
        <v>262</v>
      </c>
      <c r="U34" s="60">
        <v>45675</v>
      </c>
      <c r="V34" s="22">
        <v>13000</v>
      </c>
    </row>
    <row r="35" spans="1:22" x14ac:dyDescent="0.25">
      <c r="A35" s="22" t="s">
        <v>1897</v>
      </c>
      <c r="B35" s="22">
        <v>47</v>
      </c>
      <c r="C35" s="22" t="s">
        <v>148</v>
      </c>
      <c r="D35" s="22" t="s">
        <v>252</v>
      </c>
      <c r="E35" s="22" t="s">
        <v>1859</v>
      </c>
      <c r="F35" s="22">
        <v>63000</v>
      </c>
      <c r="G35" s="34">
        <v>45127</v>
      </c>
      <c r="H35" s="22" t="s">
        <v>150</v>
      </c>
      <c r="I35" s="34">
        <v>45674</v>
      </c>
      <c r="J35" s="22">
        <v>1800</v>
      </c>
      <c r="K35" s="22" t="s">
        <v>1860</v>
      </c>
      <c r="L35" s="22">
        <v>220000</v>
      </c>
      <c r="M35" s="22" t="s">
        <v>1869</v>
      </c>
      <c r="N35" s="22" t="s">
        <v>1857</v>
      </c>
      <c r="O35" s="22" t="s">
        <v>1870</v>
      </c>
      <c r="P35" s="22" t="s">
        <v>262</v>
      </c>
      <c r="U35" s="60">
        <v>45676</v>
      </c>
      <c r="V35" s="22">
        <v>7400</v>
      </c>
    </row>
    <row r="36" spans="1:22" x14ac:dyDescent="0.25">
      <c r="A36" s="22" t="s">
        <v>1898</v>
      </c>
      <c r="B36" s="22">
        <v>25</v>
      </c>
      <c r="C36" s="22" t="s">
        <v>152</v>
      </c>
      <c r="D36" s="22" t="s">
        <v>1871</v>
      </c>
      <c r="E36" s="22" t="s">
        <v>1854</v>
      </c>
      <c r="F36" s="22">
        <v>21000</v>
      </c>
      <c r="G36" s="34">
        <v>45139</v>
      </c>
      <c r="H36" s="22" t="s">
        <v>150</v>
      </c>
      <c r="I36" s="34">
        <v>45675</v>
      </c>
      <c r="J36" s="22">
        <v>10000</v>
      </c>
      <c r="K36" s="22" t="s">
        <v>1855</v>
      </c>
      <c r="L36" s="22">
        <v>700000</v>
      </c>
      <c r="M36" s="22" t="s">
        <v>1872</v>
      </c>
      <c r="N36" s="22" t="s">
        <v>1873</v>
      </c>
      <c r="O36" s="22" t="s">
        <v>1874</v>
      </c>
      <c r="P36" s="22" t="s">
        <v>262</v>
      </c>
      <c r="U36" s="60">
        <v>45677</v>
      </c>
      <c r="V36" s="22">
        <v>10500</v>
      </c>
    </row>
    <row r="37" spans="1:22" x14ac:dyDescent="0.25">
      <c r="A37" s="22" t="s">
        <v>1899</v>
      </c>
      <c r="B37" s="22">
        <v>34</v>
      </c>
      <c r="C37" s="22" t="s">
        <v>148</v>
      </c>
      <c r="D37" s="22" t="s">
        <v>257</v>
      </c>
      <c r="E37" s="22" t="s">
        <v>1854</v>
      </c>
      <c r="F37" s="22">
        <v>39000</v>
      </c>
      <c r="G37" s="34">
        <v>45143</v>
      </c>
      <c r="H37" s="22" t="s">
        <v>150</v>
      </c>
      <c r="I37" s="34">
        <v>45675</v>
      </c>
      <c r="J37" s="22">
        <v>3000</v>
      </c>
      <c r="K37" s="22" t="s">
        <v>1860</v>
      </c>
      <c r="L37" s="22">
        <v>1200000</v>
      </c>
      <c r="M37" s="22" t="s">
        <v>1856</v>
      </c>
      <c r="N37" s="22" t="s">
        <v>1857</v>
      </c>
      <c r="O37" s="22" t="s">
        <v>1858</v>
      </c>
      <c r="P37" s="22" t="s">
        <v>262</v>
      </c>
      <c r="U37" s="60" t="s">
        <v>116</v>
      </c>
      <c r="V37" s="22">
        <v>163600</v>
      </c>
    </row>
    <row r="38" spans="1:22" x14ac:dyDescent="0.25">
      <c r="A38" s="22" t="s">
        <v>1900</v>
      </c>
      <c r="B38" s="22">
        <v>28</v>
      </c>
      <c r="C38" s="22" t="s">
        <v>152</v>
      </c>
      <c r="D38" s="22" t="s">
        <v>262</v>
      </c>
      <c r="E38" s="22" t="s">
        <v>1854</v>
      </c>
      <c r="F38" s="22">
        <v>27000</v>
      </c>
      <c r="G38" s="34">
        <v>45148</v>
      </c>
      <c r="H38" s="22" t="s">
        <v>1864</v>
      </c>
      <c r="I38" s="34">
        <v>45676</v>
      </c>
      <c r="J38" s="22">
        <v>5300</v>
      </c>
      <c r="K38" s="22" t="s">
        <v>1855</v>
      </c>
      <c r="L38" s="22">
        <v>320000</v>
      </c>
      <c r="M38" s="22" t="s">
        <v>1861</v>
      </c>
      <c r="N38" s="22" t="s">
        <v>1866</v>
      </c>
      <c r="O38" s="22" t="s">
        <v>1862</v>
      </c>
      <c r="P38" s="22" t="s">
        <v>262</v>
      </c>
    </row>
    <row r="39" spans="1:22" x14ac:dyDescent="0.25">
      <c r="A39" s="22" t="s">
        <v>1901</v>
      </c>
      <c r="B39" s="22">
        <v>41</v>
      </c>
      <c r="C39" s="22" t="s">
        <v>148</v>
      </c>
      <c r="D39" s="22" t="s">
        <v>267</v>
      </c>
      <c r="E39" s="22" t="s">
        <v>1859</v>
      </c>
      <c r="F39" s="22">
        <v>56000</v>
      </c>
      <c r="G39" s="34">
        <v>45153</v>
      </c>
      <c r="H39" s="22" t="s">
        <v>150</v>
      </c>
      <c r="I39" s="34">
        <v>45676</v>
      </c>
      <c r="J39" s="22">
        <v>2100</v>
      </c>
      <c r="K39" s="22" t="s">
        <v>1860</v>
      </c>
      <c r="L39" s="22">
        <v>450000</v>
      </c>
      <c r="M39" s="22" t="s">
        <v>1865</v>
      </c>
      <c r="N39" s="22" t="s">
        <v>1857</v>
      </c>
      <c r="O39" s="22" t="s">
        <v>1867</v>
      </c>
      <c r="P39" s="22" t="s">
        <v>262</v>
      </c>
    </row>
    <row r="40" spans="1:22" x14ac:dyDescent="0.25">
      <c r="A40" s="22" t="s">
        <v>1902</v>
      </c>
      <c r="B40" s="22">
        <v>36</v>
      </c>
      <c r="C40" s="22" t="s">
        <v>152</v>
      </c>
      <c r="D40" s="22" t="s">
        <v>272</v>
      </c>
      <c r="E40" s="22" t="s">
        <v>1859</v>
      </c>
      <c r="F40" s="22">
        <v>48000</v>
      </c>
      <c r="G40" s="34">
        <v>45158</v>
      </c>
      <c r="H40" s="22" t="s">
        <v>150</v>
      </c>
      <c r="I40" s="34">
        <v>45677</v>
      </c>
      <c r="J40" s="22">
        <v>7700</v>
      </c>
      <c r="K40" s="22" t="s">
        <v>1855</v>
      </c>
      <c r="L40" s="22">
        <v>250000</v>
      </c>
      <c r="M40" s="22" t="s">
        <v>1869</v>
      </c>
      <c r="N40" s="22" t="s">
        <v>1857</v>
      </c>
      <c r="O40" s="22" t="s">
        <v>1870</v>
      </c>
      <c r="P40" s="22" t="s">
        <v>262</v>
      </c>
    </row>
    <row r="41" spans="1:22" x14ac:dyDescent="0.25">
      <c r="A41" s="22" t="s">
        <v>1778</v>
      </c>
      <c r="B41" s="22">
        <v>52</v>
      </c>
      <c r="C41" s="22" t="s">
        <v>148</v>
      </c>
      <c r="D41" s="22" t="s">
        <v>252</v>
      </c>
      <c r="E41" s="22" t="s">
        <v>1859</v>
      </c>
      <c r="F41" s="22">
        <v>70000</v>
      </c>
      <c r="G41" s="34">
        <v>45170</v>
      </c>
      <c r="H41" s="22" t="s">
        <v>150</v>
      </c>
      <c r="I41" s="34">
        <v>45677</v>
      </c>
      <c r="J41" s="22">
        <v>2800</v>
      </c>
      <c r="K41" s="22" t="s">
        <v>1860</v>
      </c>
      <c r="L41" s="22">
        <v>750000</v>
      </c>
      <c r="M41" s="22" t="s">
        <v>1872</v>
      </c>
      <c r="N41" s="22" t="s">
        <v>1857</v>
      </c>
      <c r="O41" s="22" t="s">
        <v>1874</v>
      </c>
      <c r="P41" s="22" t="s">
        <v>262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8EA53-C75B-46BB-8389-DA3A64919DF7}">
  <dimension ref="A1"/>
  <sheetViews>
    <sheetView showGridLines="0" workbookViewId="0">
      <selection activeCell="R43" sqref="R43"/>
    </sheetView>
  </sheetViews>
  <sheetFormatPr defaultRowHeight="15" x14ac:dyDescent="0.25"/>
  <cols>
    <col min="1" max="16384" width="9.140625" style="4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A8C22-728C-4A7F-8697-7E3D5BA18915}">
  <dimension ref="A1:P51"/>
  <sheetViews>
    <sheetView topLeftCell="A6" workbookViewId="0">
      <selection activeCell="L33" sqref="L33:M34"/>
    </sheetView>
  </sheetViews>
  <sheetFormatPr defaultRowHeight="15" x14ac:dyDescent="0.25"/>
  <cols>
    <col min="1" max="1" width="17.28515625" bestFit="1" customWidth="1"/>
    <col min="2" max="2" width="15.7109375" bestFit="1" customWidth="1"/>
    <col min="3" max="3" width="15.42578125" bestFit="1" customWidth="1"/>
    <col min="4" max="4" width="11.5703125" bestFit="1" customWidth="1"/>
    <col min="5" max="5" width="20" bestFit="1" customWidth="1"/>
    <col min="6" max="6" width="14.140625" bestFit="1" customWidth="1"/>
    <col min="7" max="7" width="11" bestFit="1" customWidth="1"/>
    <col min="9" max="9" width="12.42578125" bestFit="1" customWidth="1"/>
    <col min="10" max="10" width="9.7109375" bestFit="1" customWidth="1"/>
    <col min="11" max="12" width="13.140625" bestFit="1" customWidth="1"/>
    <col min="13" max="13" width="17.7109375" bestFit="1" customWidth="1"/>
    <col min="15" max="15" width="13.140625" bestFit="1" customWidth="1"/>
    <col min="16" max="16" width="17.7109375" bestFit="1" customWidth="1"/>
  </cols>
  <sheetData>
    <row r="1" spans="1:16" ht="15.75" x14ac:dyDescent="0.25">
      <c r="A1" s="61" t="s">
        <v>1827</v>
      </c>
      <c r="B1" s="61" t="s">
        <v>1739</v>
      </c>
      <c r="C1" s="61" t="s">
        <v>1823</v>
      </c>
      <c r="D1" s="61" t="s">
        <v>1743</v>
      </c>
      <c r="E1" s="61" t="s">
        <v>1957</v>
      </c>
      <c r="F1" s="61" t="s">
        <v>1748</v>
      </c>
      <c r="G1" s="61" t="s">
        <v>1958</v>
      </c>
      <c r="H1" s="61" t="s">
        <v>1742</v>
      </c>
      <c r="I1" s="61" t="s">
        <v>1962</v>
      </c>
      <c r="J1" s="61" t="s">
        <v>1959</v>
      </c>
    </row>
    <row r="2" spans="1:16" x14ac:dyDescent="0.25">
      <c r="A2" s="22" t="s">
        <v>1764</v>
      </c>
      <c r="B2" s="22" t="s">
        <v>1800</v>
      </c>
      <c r="C2" s="22" t="s">
        <v>265</v>
      </c>
      <c r="D2" s="22">
        <v>65000</v>
      </c>
      <c r="E2" s="22">
        <v>75000</v>
      </c>
      <c r="F2" s="22" t="s">
        <v>243</v>
      </c>
      <c r="G2" s="34">
        <v>45658</v>
      </c>
      <c r="H2" s="22">
        <v>2</v>
      </c>
      <c r="I2" s="22">
        <f>E2*H2</f>
        <v>150000</v>
      </c>
      <c r="J2" s="22">
        <f>H2*(E2-D2)</f>
        <v>20000</v>
      </c>
    </row>
    <row r="3" spans="1:16" x14ac:dyDescent="0.25">
      <c r="A3" s="22" t="s">
        <v>1766</v>
      </c>
      <c r="B3" s="22" t="s">
        <v>1918</v>
      </c>
      <c r="C3" s="22" t="s">
        <v>265</v>
      </c>
      <c r="D3" s="22">
        <v>500</v>
      </c>
      <c r="E3" s="22">
        <v>800</v>
      </c>
      <c r="F3" s="22" t="s">
        <v>247</v>
      </c>
      <c r="G3" s="34">
        <v>45658</v>
      </c>
      <c r="H3" s="22">
        <v>3</v>
      </c>
      <c r="I3" s="22">
        <f t="shared" ref="I3:I51" si="0">E3*H3</f>
        <v>2400</v>
      </c>
      <c r="J3" s="22">
        <f t="shared" ref="J3:J51" si="1">H3*(E3-D3)</f>
        <v>900</v>
      </c>
    </row>
    <row r="4" spans="1:16" x14ac:dyDescent="0.25">
      <c r="A4" s="22" t="s">
        <v>1767</v>
      </c>
      <c r="B4" s="22" t="s">
        <v>1919</v>
      </c>
      <c r="C4" s="22" t="s">
        <v>265</v>
      </c>
      <c r="D4" s="22">
        <v>1000</v>
      </c>
      <c r="E4" s="22">
        <v>1500</v>
      </c>
      <c r="F4" s="22" t="s">
        <v>246</v>
      </c>
      <c r="G4" s="34">
        <v>45659</v>
      </c>
      <c r="H4" s="22">
        <v>1</v>
      </c>
      <c r="I4" s="22">
        <f t="shared" si="0"/>
        <v>1500</v>
      </c>
      <c r="J4" s="22">
        <f t="shared" si="1"/>
        <v>500</v>
      </c>
      <c r="L4" s="22" t="s">
        <v>1961</v>
      </c>
      <c r="M4" s="22" t="s">
        <v>1960</v>
      </c>
    </row>
    <row r="5" spans="1:16" x14ac:dyDescent="0.25">
      <c r="A5" s="22" t="s">
        <v>1750</v>
      </c>
      <c r="B5" s="22" t="s">
        <v>1920</v>
      </c>
      <c r="C5" s="22" t="s">
        <v>265</v>
      </c>
      <c r="D5" s="22">
        <v>18000</v>
      </c>
      <c r="E5" s="22">
        <v>22000</v>
      </c>
      <c r="F5" s="22" t="s">
        <v>245</v>
      </c>
      <c r="G5" s="34">
        <v>45659</v>
      </c>
      <c r="H5" s="22">
        <v>4</v>
      </c>
      <c r="I5" s="22">
        <f t="shared" si="0"/>
        <v>88000</v>
      </c>
      <c r="J5" s="22">
        <f t="shared" si="1"/>
        <v>16000</v>
      </c>
      <c r="L5" s="22">
        <v>406500</v>
      </c>
      <c r="M5" s="22">
        <v>140</v>
      </c>
    </row>
    <row r="6" spans="1:16" x14ac:dyDescent="0.25">
      <c r="A6" s="22" t="s">
        <v>1882</v>
      </c>
      <c r="B6" s="22" t="s">
        <v>1921</v>
      </c>
      <c r="C6" s="22" t="s">
        <v>265</v>
      </c>
      <c r="D6" s="22">
        <v>1800</v>
      </c>
      <c r="E6" s="22">
        <v>2500</v>
      </c>
      <c r="F6" s="22" t="s">
        <v>243</v>
      </c>
      <c r="G6" s="34">
        <v>45660</v>
      </c>
      <c r="H6" s="22">
        <v>2</v>
      </c>
      <c r="I6" s="22">
        <f t="shared" si="0"/>
        <v>5000</v>
      </c>
      <c r="J6" s="22">
        <f t="shared" si="1"/>
        <v>1400</v>
      </c>
    </row>
    <row r="7" spans="1:16" x14ac:dyDescent="0.25">
      <c r="A7" s="22" t="s">
        <v>1922</v>
      </c>
      <c r="B7" s="22" t="s">
        <v>1923</v>
      </c>
      <c r="C7" s="22" t="s">
        <v>265</v>
      </c>
      <c r="D7" s="22">
        <v>15000</v>
      </c>
      <c r="E7" s="22">
        <v>18000</v>
      </c>
      <c r="F7" s="22" t="s">
        <v>247</v>
      </c>
      <c r="G7" s="34">
        <v>45660</v>
      </c>
      <c r="H7" s="22">
        <v>5</v>
      </c>
      <c r="I7" s="22">
        <f t="shared" si="0"/>
        <v>90000</v>
      </c>
      <c r="J7" s="22">
        <f t="shared" si="1"/>
        <v>15000</v>
      </c>
    </row>
    <row r="8" spans="1:16" x14ac:dyDescent="0.25">
      <c r="A8" s="22" t="s">
        <v>1774</v>
      </c>
      <c r="B8" s="22" t="s">
        <v>1924</v>
      </c>
      <c r="C8" s="22" t="s">
        <v>265</v>
      </c>
      <c r="D8" s="22">
        <v>30000</v>
      </c>
      <c r="E8" s="22">
        <v>35000</v>
      </c>
      <c r="F8" s="22" t="s">
        <v>246</v>
      </c>
      <c r="G8" s="34">
        <v>45661</v>
      </c>
      <c r="H8" s="22">
        <v>3</v>
      </c>
      <c r="I8" s="22">
        <f t="shared" si="0"/>
        <v>105000</v>
      </c>
      <c r="J8" s="22">
        <f t="shared" si="1"/>
        <v>15000</v>
      </c>
    </row>
    <row r="9" spans="1:16" x14ac:dyDescent="0.25">
      <c r="A9" s="22" t="s">
        <v>1772</v>
      </c>
      <c r="B9" s="22" t="s">
        <v>1925</v>
      </c>
      <c r="C9" s="22" t="s">
        <v>265</v>
      </c>
      <c r="D9" s="22">
        <v>38000</v>
      </c>
      <c r="E9" s="22">
        <v>42000</v>
      </c>
      <c r="F9" s="22" t="s">
        <v>245</v>
      </c>
      <c r="G9" s="34">
        <v>45661</v>
      </c>
      <c r="H9" s="22">
        <v>1</v>
      </c>
      <c r="I9" s="22">
        <f t="shared" si="0"/>
        <v>42000</v>
      </c>
      <c r="J9" s="22">
        <f t="shared" si="1"/>
        <v>4000</v>
      </c>
    </row>
    <row r="10" spans="1:16" x14ac:dyDescent="0.25">
      <c r="A10" s="22" t="s">
        <v>1880</v>
      </c>
      <c r="B10" s="22" t="s">
        <v>1926</v>
      </c>
      <c r="C10" s="22" t="s">
        <v>260</v>
      </c>
      <c r="D10" s="22">
        <v>800</v>
      </c>
      <c r="E10" s="22">
        <v>1200</v>
      </c>
      <c r="F10" s="22" t="s">
        <v>243</v>
      </c>
      <c r="G10" s="34">
        <v>45662</v>
      </c>
      <c r="H10" s="22">
        <v>4</v>
      </c>
      <c r="I10" s="22">
        <f t="shared" si="0"/>
        <v>4800</v>
      </c>
      <c r="J10" s="22">
        <f t="shared" si="1"/>
        <v>1600</v>
      </c>
      <c r="L10" s="58" t="s">
        <v>115</v>
      </c>
      <c r="M10" s="22" t="s">
        <v>1963</v>
      </c>
      <c r="O10" s="58" t="s">
        <v>115</v>
      </c>
      <c r="P10" s="22" t="s">
        <v>1963</v>
      </c>
    </row>
    <row r="11" spans="1:16" x14ac:dyDescent="0.25">
      <c r="A11" s="22" t="s">
        <v>1927</v>
      </c>
      <c r="B11" s="22" t="s">
        <v>1928</v>
      </c>
      <c r="C11" s="22" t="s">
        <v>260</v>
      </c>
      <c r="D11" s="22">
        <v>2200</v>
      </c>
      <c r="E11" s="22">
        <v>3000</v>
      </c>
      <c r="F11" s="22" t="s">
        <v>247</v>
      </c>
      <c r="G11" s="34">
        <v>45662</v>
      </c>
      <c r="H11" s="22">
        <v>2</v>
      </c>
      <c r="I11" s="22">
        <f t="shared" si="0"/>
        <v>6000</v>
      </c>
      <c r="J11" s="22">
        <f t="shared" si="1"/>
        <v>1600</v>
      </c>
      <c r="L11" s="59" t="s">
        <v>260</v>
      </c>
      <c r="M11" s="22">
        <v>55200</v>
      </c>
      <c r="O11" s="59" t="s">
        <v>246</v>
      </c>
      <c r="P11" s="22">
        <v>649400</v>
      </c>
    </row>
    <row r="12" spans="1:16" x14ac:dyDescent="0.25">
      <c r="A12" s="22" t="s">
        <v>1768</v>
      </c>
      <c r="B12" s="22" t="s">
        <v>1800</v>
      </c>
      <c r="C12" s="22" t="s">
        <v>265</v>
      </c>
      <c r="D12" s="22">
        <v>65000</v>
      </c>
      <c r="E12" s="22">
        <v>75000</v>
      </c>
      <c r="F12" s="22" t="s">
        <v>246</v>
      </c>
      <c r="G12" s="34">
        <v>45663</v>
      </c>
      <c r="H12" s="22">
        <v>3</v>
      </c>
      <c r="I12" s="22">
        <f t="shared" si="0"/>
        <v>225000</v>
      </c>
      <c r="J12" s="22">
        <f t="shared" si="1"/>
        <v>30000</v>
      </c>
      <c r="L12" s="59" t="s">
        <v>265</v>
      </c>
      <c r="M12" s="22">
        <v>2722400</v>
      </c>
      <c r="O12" s="59" t="s">
        <v>243</v>
      </c>
      <c r="P12" s="22">
        <v>1039800</v>
      </c>
    </row>
    <row r="13" spans="1:16" x14ac:dyDescent="0.25">
      <c r="A13" s="22" t="s">
        <v>1929</v>
      </c>
      <c r="B13" s="22" t="s">
        <v>1918</v>
      </c>
      <c r="C13" s="22" t="s">
        <v>265</v>
      </c>
      <c r="D13" s="22">
        <v>500</v>
      </c>
      <c r="E13" s="22">
        <v>800</v>
      </c>
      <c r="F13" s="22" t="s">
        <v>245</v>
      </c>
      <c r="G13" s="34">
        <v>45663</v>
      </c>
      <c r="H13" s="22">
        <v>1</v>
      </c>
      <c r="I13" s="22">
        <f t="shared" si="0"/>
        <v>800</v>
      </c>
      <c r="J13" s="22">
        <f t="shared" si="1"/>
        <v>300</v>
      </c>
      <c r="L13" s="59" t="s">
        <v>116</v>
      </c>
      <c r="M13" s="22">
        <v>2777600</v>
      </c>
      <c r="O13" s="59" t="s">
        <v>247</v>
      </c>
      <c r="P13" s="22">
        <v>527600</v>
      </c>
    </row>
    <row r="14" spans="1:16" x14ac:dyDescent="0.25">
      <c r="A14" s="22" t="s">
        <v>1930</v>
      </c>
      <c r="B14" s="22" t="s">
        <v>1919</v>
      </c>
      <c r="C14" s="22" t="s">
        <v>265</v>
      </c>
      <c r="D14" s="22">
        <v>1000</v>
      </c>
      <c r="E14" s="22">
        <v>1500</v>
      </c>
      <c r="F14" s="22" t="s">
        <v>243</v>
      </c>
      <c r="G14" s="34">
        <v>45664</v>
      </c>
      <c r="H14" s="22">
        <v>2</v>
      </c>
      <c r="I14" s="22">
        <f t="shared" si="0"/>
        <v>3000</v>
      </c>
      <c r="J14" s="22">
        <f t="shared" si="1"/>
        <v>1000</v>
      </c>
      <c r="O14" s="59" t="s">
        <v>245</v>
      </c>
      <c r="P14" s="22">
        <v>560800</v>
      </c>
    </row>
    <row r="15" spans="1:16" x14ac:dyDescent="0.25">
      <c r="A15" s="22" t="s">
        <v>1931</v>
      </c>
      <c r="B15" s="22" t="s">
        <v>1920</v>
      </c>
      <c r="C15" s="22" t="s">
        <v>265</v>
      </c>
      <c r="D15" s="22">
        <v>18000</v>
      </c>
      <c r="E15" s="22">
        <v>22000</v>
      </c>
      <c r="F15" s="22" t="s">
        <v>247</v>
      </c>
      <c r="G15" s="34">
        <v>45664</v>
      </c>
      <c r="H15" s="22">
        <v>5</v>
      </c>
      <c r="I15" s="22">
        <f t="shared" si="0"/>
        <v>110000</v>
      </c>
      <c r="J15" s="22">
        <f t="shared" si="1"/>
        <v>20000</v>
      </c>
      <c r="O15" s="59" t="s">
        <v>116</v>
      </c>
      <c r="P15" s="22">
        <v>2777600</v>
      </c>
    </row>
    <row r="16" spans="1:16" x14ac:dyDescent="0.25">
      <c r="A16" s="22" t="s">
        <v>1839</v>
      </c>
      <c r="B16" s="22" t="s">
        <v>1921</v>
      </c>
      <c r="C16" s="22" t="s">
        <v>265</v>
      </c>
      <c r="D16" s="22">
        <v>1800</v>
      </c>
      <c r="E16" s="22">
        <v>2500</v>
      </c>
      <c r="F16" s="22" t="s">
        <v>246</v>
      </c>
      <c r="G16" s="34">
        <v>45665</v>
      </c>
      <c r="H16" s="22">
        <v>3</v>
      </c>
      <c r="I16" s="22">
        <f t="shared" si="0"/>
        <v>7500</v>
      </c>
      <c r="J16" s="22">
        <f t="shared" si="1"/>
        <v>2100</v>
      </c>
    </row>
    <row r="17" spans="1:16" x14ac:dyDescent="0.25">
      <c r="A17" s="22" t="s">
        <v>1932</v>
      </c>
      <c r="B17" s="22" t="s">
        <v>1923</v>
      </c>
      <c r="C17" s="22" t="s">
        <v>265</v>
      </c>
      <c r="D17" s="22">
        <v>15000</v>
      </c>
      <c r="E17" s="22">
        <v>18000</v>
      </c>
      <c r="F17" s="22" t="s">
        <v>245</v>
      </c>
      <c r="G17" s="34">
        <v>45665</v>
      </c>
      <c r="H17" s="22">
        <v>2</v>
      </c>
      <c r="I17" s="22">
        <f t="shared" si="0"/>
        <v>36000</v>
      </c>
      <c r="J17" s="22">
        <f t="shared" si="1"/>
        <v>6000</v>
      </c>
    </row>
    <row r="18" spans="1:16" x14ac:dyDescent="0.25">
      <c r="A18" s="22" t="s">
        <v>1780</v>
      </c>
      <c r="B18" s="22" t="s">
        <v>1924</v>
      </c>
      <c r="C18" s="22" t="s">
        <v>265</v>
      </c>
      <c r="D18" s="22">
        <v>30000</v>
      </c>
      <c r="E18" s="22">
        <v>35000</v>
      </c>
      <c r="F18" s="22" t="s">
        <v>243</v>
      </c>
      <c r="G18" s="34">
        <v>45666</v>
      </c>
      <c r="H18" s="22">
        <v>4</v>
      </c>
      <c r="I18" s="22">
        <f t="shared" si="0"/>
        <v>140000</v>
      </c>
      <c r="J18" s="22">
        <f t="shared" si="1"/>
        <v>20000</v>
      </c>
    </row>
    <row r="19" spans="1:16" x14ac:dyDescent="0.25">
      <c r="A19" s="22" t="s">
        <v>1933</v>
      </c>
      <c r="B19" s="22" t="s">
        <v>1925</v>
      </c>
      <c r="C19" s="22" t="s">
        <v>265</v>
      </c>
      <c r="D19" s="22">
        <v>38000</v>
      </c>
      <c r="E19" s="22">
        <v>42000</v>
      </c>
      <c r="F19" s="22" t="s">
        <v>247</v>
      </c>
      <c r="G19" s="34">
        <v>45666</v>
      </c>
      <c r="H19" s="22">
        <v>1</v>
      </c>
      <c r="I19" s="22">
        <f t="shared" si="0"/>
        <v>42000</v>
      </c>
      <c r="J19" s="22">
        <f t="shared" si="1"/>
        <v>4000</v>
      </c>
      <c r="O19" s="58" t="s">
        <v>115</v>
      </c>
      <c r="P19" s="22" t="s">
        <v>1963</v>
      </c>
    </row>
    <row r="20" spans="1:16" x14ac:dyDescent="0.25">
      <c r="A20" s="22" t="s">
        <v>1934</v>
      </c>
      <c r="B20" s="22" t="s">
        <v>1926</v>
      </c>
      <c r="C20" s="22" t="s">
        <v>260</v>
      </c>
      <c r="D20" s="22">
        <v>800</v>
      </c>
      <c r="E20" s="22">
        <v>1200</v>
      </c>
      <c r="F20" s="22" t="s">
        <v>246</v>
      </c>
      <c r="G20" s="34">
        <v>45667</v>
      </c>
      <c r="H20" s="22">
        <v>3</v>
      </c>
      <c r="I20" s="22">
        <f t="shared" si="0"/>
        <v>3600</v>
      </c>
      <c r="J20" s="22">
        <f t="shared" si="1"/>
        <v>1200</v>
      </c>
      <c r="L20" s="58" t="s">
        <v>115</v>
      </c>
      <c r="M20" s="22" t="s">
        <v>1963</v>
      </c>
      <c r="O20" s="60">
        <v>45658</v>
      </c>
      <c r="P20" s="22">
        <v>152400</v>
      </c>
    </row>
    <row r="21" spans="1:16" x14ac:dyDescent="0.25">
      <c r="A21" s="22" t="s">
        <v>1888</v>
      </c>
      <c r="B21" s="22" t="s">
        <v>1928</v>
      </c>
      <c r="C21" s="22" t="s">
        <v>260</v>
      </c>
      <c r="D21" s="22">
        <v>2200</v>
      </c>
      <c r="E21" s="22">
        <v>3000</v>
      </c>
      <c r="F21" s="22" t="s">
        <v>245</v>
      </c>
      <c r="G21" s="34">
        <v>45667</v>
      </c>
      <c r="H21" s="22">
        <v>2</v>
      </c>
      <c r="I21" s="22">
        <f t="shared" si="0"/>
        <v>6000</v>
      </c>
      <c r="J21" s="22">
        <f t="shared" si="1"/>
        <v>1600</v>
      </c>
      <c r="L21" s="59" t="s">
        <v>1841</v>
      </c>
      <c r="M21" s="22">
        <v>300000</v>
      </c>
      <c r="O21" s="60">
        <v>45659</v>
      </c>
      <c r="P21" s="22">
        <v>89500</v>
      </c>
    </row>
    <row r="22" spans="1:16" x14ac:dyDescent="0.25">
      <c r="A22" s="22" t="s">
        <v>1841</v>
      </c>
      <c r="B22" s="22" t="s">
        <v>1800</v>
      </c>
      <c r="C22" s="22" t="s">
        <v>265</v>
      </c>
      <c r="D22" s="22">
        <v>65000</v>
      </c>
      <c r="E22" s="22">
        <v>75000</v>
      </c>
      <c r="F22" s="22" t="s">
        <v>243</v>
      </c>
      <c r="G22" s="34">
        <v>45668</v>
      </c>
      <c r="H22" s="22">
        <v>4</v>
      </c>
      <c r="I22" s="22">
        <f t="shared" si="0"/>
        <v>300000</v>
      </c>
      <c r="J22" s="22">
        <f t="shared" si="1"/>
        <v>40000</v>
      </c>
      <c r="L22" s="59" t="s">
        <v>1768</v>
      </c>
      <c r="M22" s="22">
        <v>225000</v>
      </c>
      <c r="O22" s="60">
        <v>45660</v>
      </c>
      <c r="P22" s="22">
        <v>95000</v>
      </c>
    </row>
    <row r="23" spans="1:16" x14ac:dyDescent="0.25">
      <c r="A23" s="22" t="s">
        <v>1935</v>
      </c>
      <c r="B23" s="22" t="s">
        <v>1918</v>
      </c>
      <c r="C23" s="22" t="s">
        <v>265</v>
      </c>
      <c r="D23" s="22">
        <v>500</v>
      </c>
      <c r="E23" s="22">
        <v>800</v>
      </c>
      <c r="F23" s="22" t="s">
        <v>247</v>
      </c>
      <c r="G23" s="34">
        <v>45668</v>
      </c>
      <c r="H23" s="22">
        <v>3</v>
      </c>
      <c r="I23" s="22">
        <f t="shared" si="0"/>
        <v>2400</v>
      </c>
      <c r="J23" s="22">
        <f t="shared" si="1"/>
        <v>900</v>
      </c>
      <c r="L23" s="59" t="s">
        <v>1778</v>
      </c>
      <c r="M23" s="22">
        <v>225000</v>
      </c>
      <c r="O23" s="60">
        <v>45661</v>
      </c>
      <c r="P23" s="22">
        <v>147000</v>
      </c>
    </row>
    <row r="24" spans="1:16" x14ac:dyDescent="0.25">
      <c r="A24" s="22" t="s">
        <v>1936</v>
      </c>
      <c r="B24" s="22" t="s">
        <v>1919</v>
      </c>
      <c r="C24" s="22" t="s">
        <v>265</v>
      </c>
      <c r="D24" s="22">
        <v>1000</v>
      </c>
      <c r="E24" s="22">
        <v>1500</v>
      </c>
      <c r="F24" s="22" t="s">
        <v>246</v>
      </c>
      <c r="G24" s="34">
        <v>45669</v>
      </c>
      <c r="H24" s="22">
        <v>1</v>
      </c>
      <c r="I24" s="22">
        <f t="shared" si="0"/>
        <v>1500</v>
      </c>
      <c r="J24" s="22">
        <f t="shared" si="1"/>
        <v>500</v>
      </c>
      <c r="L24" s="59" t="s">
        <v>1887</v>
      </c>
      <c r="M24" s="22">
        <v>175000</v>
      </c>
      <c r="O24" s="60">
        <v>45662</v>
      </c>
      <c r="P24" s="22">
        <v>10800</v>
      </c>
    </row>
    <row r="25" spans="1:16" x14ac:dyDescent="0.25">
      <c r="A25" s="22" t="s">
        <v>1937</v>
      </c>
      <c r="B25" s="22" t="s">
        <v>1920</v>
      </c>
      <c r="C25" s="22" t="s">
        <v>265</v>
      </c>
      <c r="D25" s="22">
        <v>18000</v>
      </c>
      <c r="E25" s="22">
        <v>22000</v>
      </c>
      <c r="F25" s="22" t="s">
        <v>245</v>
      </c>
      <c r="G25" s="34">
        <v>45669</v>
      </c>
      <c r="H25" s="22">
        <v>2</v>
      </c>
      <c r="I25" s="22">
        <f t="shared" si="0"/>
        <v>44000</v>
      </c>
      <c r="J25" s="22">
        <f t="shared" si="1"/>
        <v>8000</v>
      </c>
      <c r="L25" s="59" t="s">
        <v>1940</v>
      </c>
      <c r="M25" s="22">
        <v>168000</v>
      </c>
      <c r="O25" s="60">
        <v>45663</v>
      </c>
      <c r="P25" s="22">
        <v>225800</v>
      </c>
    </row>
    <row r="26" spans="1:16" x14ac:dyDescent="0.25">
      <c r="A26" s="22" t="s">
        <v>1881</v>
      </c>
      <c r="B26" s="22" t="s">
        <v>1921</v>
      </c>
      <c r="C26" s="22" t="s">
        <v>265</v>
      </c>
      <c r="D26" s="22">
        <v>1800</v>
      </c>
      <c r="E26" s="22">
        <v>2500</v>
      </c>
      <c r="F26" s="22" t="s">
        <v>243</v>
      </c>
      <c r="G26" s="34">
        <v>45670</v>
      </c>
      <c r="H26" s="22">
        <v>5</v>
      </c>
      <c r="I26" s="22">
        <f t="shared" si="0"/>
        <v>12500</v>
      </c>
      <c r="J26" s="22">
        <f t="shared" si="1"/>
        <v>3500</v>
      </c>
      <c r="L26" s="59" t="s">
        <v>116</v>
      </c>
      <c r="M26" s="22">
        <v>1093000</v>
      </c>
      <c r="O26" s="60">
        <v>45664</v>
      </c>
      <c r="P26" s="22">
        <v>113000</v>
      </c>
    </row>
    <row r="27" spans="1:16" x14ac:dyDescent="0.25">
      <c r="A27" s="22" t="s">
        <v>1938</v>
      </c>
      <c r="B27" s="22" t="s">
        <v>1923</v>
      </c>
      <c r="C27" s="22" t="s">
        <v>265</v>
      </c>
      <c r="D27" s="22">
        <v>15000</v>
      </c>
      <c r="E27" s="22">
        <v>18000</v>
      </c>
      <c r="F27" s="22" t="s">
        <v>247</v>
      </c>
      <c r="G27" s="34">
        <v>45670</v>
      </c>
      <c r="H27" s="22">
        <v>3</v>
      </c>
      <c r="I27" s="22">
        <f t="shared" si="0"/>
        <v>54000</v>
      </c>
      <c r="J27" s="22">
        <f t="shared" si="1"/>
        <v>9000</v>
      </c>
      <c r="O27" s="60">
        <v>45665</v>
      </c>
      <c r="P27" s="22">
        <v>43500</v>
      </c>
    </row>
    <row r="28" spans="1:16" x14ac:dyDescent="0.25">
      <c r="A28" s="22" t="s">
        <v>1939</v>
      </c>
      <c r="B28" s="22" t="s">
        <v>1924</v>
      </c>
      <c r="C28" s="22" t="s">
        <v>265</v>
      </c>
      <c r="D28" s="22">
        <v>30000</v>
      </c>
      <c r="E28" s="22">
        <v>35000</v>
      </c>
      <c r="F28" s="22" t="s">
        <v>246</v>
      </c>
      <c r="G28" s="34">
        <v>45671</v>
      </c>
      <c r="H28" s="22">
        <v>2</v>
      </c>
      <c r="I28" s="22">
        <f t="shared" si="0"/>
        <v>70000</v>
      </c>
      <c r="J28" s="22">
        <f t="shared" si="1"/>
        <v>10000</v>
      </c>
      <c r="O28" s="60">
        <v>45666</v>
      </c>
      <c r="P28" s="22">
        <v>182000</v>
      </c>
    </row>
    <row r="29" spans="1:16" x14ac:dyDescent="0.25">
      <c r="A29" s="22" t="s">
        <v>1940</v>
      </c>
      <c r="B29" s="22" t="s">
        <v>1925</v>
      </c>
      <c r="C29" s="22" t="s">
        <v>265</v>
      </c>
      <c r="D29" s="22">
        <v>38000</v>
      </c>
      <c r="E29" s="22">
        <v>42000</v>
      </c>
      <c r="F29" s="22" t="s">
        <v>245</v>
      </c>
      <c r="G29" s="34">
        <v>45671</v>
      </c>
      <c r="H29" s="22">
        <v>4</v>
      </c>
      <c r="I29" s="22">
        <f t="shared" si="0"/>
        <v>168000</v>
      </c>
      <c r="J29" s="22">
        <f t="shared" si="1"/>
        <v>16000</v>
      </c>
      <c r="O29" s="60">
        <v>45667</v>
      </c>
      <c r="P29" s="22">
        <v>9600</v>
      </c>
    </row>
    <row r="30" spans="1:16" x14ac:dyDescent="0.25">
      <c r="A30" s="22" t="s">
        <v>1941</v>
      </c>
      <c r="B30" s="22" t="s">
        <v>1926</v>
      </c>
      <c r="C30" s="22" t="s">
        <v>260</v>
      </c>
      <c r="D30" s="22">
        <v>800</v>
      </c>
      <c r="E30" s="22">
        <v>1200</v>
      </c>
      <c r="F30" s="22" t="s">
        <v>243</v>
      </c>
      <c r="G30" s="34">
        <v>45672</v>
      </c>
      <c r="H30" s="22">
        <v>1</v>
      </c>
      <c r="I30" s="22">
        <f t="shared" si="0"/>
        <v>1200</v>
      </c>
      <c r="J30" s="22">
        <f t="shared" si="1"/>
        <v>400</v>
      </c>
      <c r="O30" s="60">
        <v>45668</v>
      </c>
      <c r="P30" s="22">
        <v>302400</v>
      </c>
    </row>
    <row r="31" spans="1:16" x14ac:dyDescent="0.25">
      <c r="A31" s="22" t="s">
        <v>1942</v>
      </c>
      <c r="B31" s="22" t="s">
        <v>1928</v>
      </c>
      <c r="C31" s="22" t="s">
        <v>260</v>
      </c>
      <c r="D31" s="22">
        <v>2200</v>
      </c>
      <c r="E31" s="22">
        <v>3000</v>
      </c>
      <c r="F31" s="22" t="s">
        <v>247</v>
      </c>
      <c r="G31" s="34">
        <v>45672</v>
      </c>
      <c r="H31" s="22">
        <v>3</v>
      </c>
      <c r="I31" s="22">
        <f t="shared" si="0"/>
        <v>9000</v>
      </c>
      <c r="J31" s="22">
        <f t="shared" si="1"/>
        <v>2400</v>
      </c>
      <c r="O31" s="60">
        <v>45669</v>
      </c>
      <c r="P31" s="22">
        <v>45500</v>
      </c>
    </row>
    <row r="32" spans="1:16" x14ac:dyDescent="0.25">
      <c r="A32" s="22" t="s">
        <v>1943</v>
      </c>
      <c r="B32" s="22" t="s">
        <v>1800</v>
      </c>
      <c r="C32" s="22" t="s">
        <v>265</v>
      </c>
      <c r="D32" s="22">
        <v>65000</v>
      </c>
      <c r="E32" s="22">
        <v>75000</v>
      </c>
      <c r="F32" s="22" t="s">
        <v>246</v>
      </c>
      <c r="G32" s="34">
        <v>45673</v>
      </c>
      <c r="H32" s="22">
        <v>2</v>
      </c>
      <c r="I32" s="22">
        <f t="shared" si="0"/>
        <v>150000</v>
      </c>
      <c r="J32" s="22">
        <f t="shared" si="1"/>
        <v>20000</v>
      </c>
      <c r="O32" s="60">
        <v>45670</v>
      </c>
      <c r="P32" s="22">
        <v>66500</v>
      </c>
    </row>
    <row r="33" spans="1:16" x14ac:dyDescent="0.25">
      <c r="A33" s="22" t="s">
        <v>1944</v>
      </c>
      <c r="B33" s="22" t="s">
        <v>1918</v>
      </c>
      <c r="C33" s="22" t="s">
        <v>265</v>
      </c>
      <c r="D33" s="22">
        <v>500</v>
      </c>
      <c r="E33" s="22">
        <v>800</v>
      </c>
      <c r="F33" s="22" t="s">
        <v>245</v>
      </c>
      <c r="G33" s="34">
        <v>45673</v>
      </c>
      <c r="H33" s="22">
        <v>5</v>
      </c>
      <c r="I33" s="22">
        <f t="shared" si="0"/>
        <v>4000</v>
      </c>
      <c r="J33" s="22">
        <f t="shared" si="1"/>
        <v>1500</v>
      </c>
      <c r="L33" t="s">
        <v>265</v>
      </c>
      <c r="M33">
        <v>2722400</v>
      </c>
      <c r="O33" s="60">
        <v>45671</v>
      </c>
      <c r="P33" s="22">
        <v>238000</v>
      </c>
    </row>
    <row r="34" spans="1:16" x14ac:dyDescent="0.25">
      <c r="A34" s="22" t="s">
        <v>1945</v>
      </c>
      <c r="B34" s="22" t="s">
        <v>1919</v>
      </c>
      <c r="C34" s="22" t="s">
        <v>265</v>
      </c>
      <c r="D34" s="22">
        <v>1000</v>
      </c>
      <c r="E34" s="22">
        <v>1500</v>
      </c>
      <c r="F34" s="22" t="s">
        <v>243</v>
      </c>
      <c r="G34" s="34">
        <v>45674</v>
      </c>
      <c r="H34" s="22">
        <v>4</v>
      </c>
      <c r="I34" s="22">
        <f t="shared" si="0"/>
        <v>6000</v>
      </c>
      <c r="J34" s="22">
        <f t="shared" si="1"/>
        <v>2000</v>
      </c>
      <c r="L34" t="s">
        <v>260</v>
      </c>
      <c r="M34">
        <v>55200</v>
      </c>
      <c r="O34" s="60">
        <v>45672</v>
      </c>
      <c r="P34" s="22">
        <v>10200</v>
      </c>
    </row>
    <row r="35" spans="1:16" x14ac:dyDescent="0.25">
      <c r="A35" s="22" t="s">
        <v>1898</v>
      </c>
      <c r="B35" s="22" t="s">
        <v>1920</v>
      </c>
      <c r="C35" s="22" t="s">
        <v>265</v>
      </c>
      <c r="D35" s="22">
        <v>18000</v>
      </c>
      <c r="E35" s="22">
        <v>22000</v>
      </c>
      <c r="F35" s="22" t="s">
        <v>247</v>
      </c>
      <c r="G35" s="34">
        <v>45674</v>
      </c>
      <c r="H35" s="22">
        <v>1</v>
      </c>
      <c r="I35" s="22">
        <f t="shared" si="0"/>
        <v>22000</v>
      </c>
      <c r="J35" s="22">
        <f t="shared" si="1"/>
        <v>4000</v>
      </c>
      <c r="O35" s="60">
        <v>45673</v>
      </c>
      <c r="P35" s="22">
        <v>154000</v>
      </c>
    </row>
    <row r="36" spans="1:16" x14ac:dyDescent="0.25">
      <c r="A36" s="22" t="s">
        <v>1899</v>
      </c>
      <c r="B36" s="22" t="s">
        <v>1921</v>
      </c>
      <c r="C36" s="22" t="s">
        <v>265</v>
      </c>
      <c r="D36" s="22">
        <v>1800</v>
      </c>
      <c r="E36" s="22">
        <v>2500</v>
      </c>
      <c r="F36" s="22" t="s">
        <v>246</v>
      </c>
      <c r="G36" s="34">
        <v>45675</v>
      </c>
      <c r="H36" s="22">
        <v>3</v>
      </c>
      <c r="I36" s="22">
        <f t="shared" si="0"/>
        <v>7500</v>
      </c>
      <c r="J36" s="22">
        <f t="shared" si="1"/>
        <v>2100</v>
      </c>
      <c r="O36" s="60">
        <v>45674</v>
      </c>
      <c r="P36" s="22">
        <v>28000</v>
      </c>
    </row>
    <row r="37" spans="1:16" x14ac:dyDescent="0.25">
      <c r="A37" s="22" t="s">
        <v>1752</v>
      </c>
      <c r="B37" s="22" t="s">
        <v>1923</v>
      </c>
      <c r="C37" s="22" t="s">
        <v>265</v>
      </c>
      <c r="D37" s="22">
        <v>15000</v>
      </c>
      <c r="E37" s="22">
        <v>18000</v>
      </c>
      <c r="F37" s="22" t="s">
        <v>245</v>
      </c>
      <c r="G37" s="34">
        <v>45675</v>
      </c>
      <c r="H37" s="22">
        <v>2</v>
      </c>
      <c r="I37" s="22">
        <f t="shared" si="0"/>
        <v>36000</v>
      </c>
      <c r="J37" s="22">
        <f t="shared" si="1"/>
        <v>6000</v>
      </c>
      <c r="O37" s="60">
        <v>45675</v>
      </c>
      <c r="P37" s="22">
        <v>43500</v>
      </c>
    </row>
    <row r="38" spans="1:16" x14ac:dyDescent="0.25">
      <c r="A38" s="22" t="s">
        <v>1887</v>
      </c>
      <c r="B38" s="22" t="s">
        <v>1924</v>
      </c>
      <c r="C38" s="22" t="s">
        <v>265</v>
      </c>
      <c r="D38" s="22">
        <v>30000</v>
      </c>
      <c r="E38" s="22">
        <v>35000</v>
      </c>
      <c r="F38" s="22" t="s">
        <v>243</v>
      </c>
      <c r="G38" s="34">
        <v>45676</v>
      </c>
      <c r="H38" s="22">
        <v>5</v>
      </c>
      <c r="I38" s="22">
        <f t="shared" si="0"/>
        <v>175000</v>
      </c>
      <c r="J38" s="22">
        <f t="shared" si="1"/>
        <v>25000</v>
      </c>
      <c r="O38" s="60">
        <v>45676</v>
      </c>
      <c r="P38" s="22">
        <v>301000</v>
      </c>
    </row>
    <row r="39" spans="1:16" x14ac:dyDescent="0.25">
      <c r="A39" s="22" t="s">
        <v>1946</v>
      </c>
      <c r="B39" s="22" t="s">
        <v>1925</v>
      </c>
      <c r="C39" s="22" t="s">
        <v>265</v>
      </c>
      <c r="D39" s="22">
        <v>38000</v>
      </c>
      <c r="E39" s="22">
        <v>42000</v>
      </c>
      <c r="F39" s="22" t="s">
        <v>247</v>
      </c>
      <c r="G39" s="34">
        <v>45676</v>
      </c>
      <c r="H39" s="22">
        <v>3</v>
      </c>
      <c r="I39" s="22">
        <f t="shared" si="0"/>
        <v>126000</v>
      </c>
      <c r="J39" s="22">
        <f t="shared" si="1"/>
        <v>12000</v>
      </c>
      <c r="O39" s="60">
        <v>45677</v>
      </c>
      <c r="P39" s="22">
        <v>10800</v>
      </c>
    </row>
    <row r="40" spans="1:16" x14ac:dyDescent="0.25">
      <c r="A40" s="22" t="s">
        <v>1947</v>
      </c>
      <c r="B40" s="22" t="s">
        <v>1926</v>
      </c>
      <c r="C40" s="22" t="s">
        <v>260</v>
      </c>
      <c r="D40" s="22">
        <v>800</v>
      </c>
      <c r="E40" s="22">
        <v>1200</v>
      </c>
      <c r="F40" s="22" t="s">
        <v>246</v>
      </c>
      <c r="G40" s="34">
        <v>45677</v>
      </c>
      <c r="H40" s="22">
        <v>4</v>
      </c>
      <c r="I40" s="22">
        <f t="shared" si="0"/>
        <v>4800</v>
      </c>
      <c r="J40" s="22">
        <f t="shared" si="1"/>
        <v>1600</v>
      </c>
      <c r="O40" s="60">
        <v>45678</v>
      </c>
      <c r="P40" s="22">
        <v>225800</v>
      </c>
    </row>
    <row r="41" spans="1:16" x14ac:dyDescent="0.25">
      <c r="A41" s="22" t="s">
        <v>1948</v>
      </c>
      <c r="B41" s="22" t="s">
        <v>1928</v>
      </c>
      <c r="C41" s="22" t="s">
        <v>260</v>
      </c>
      <c r="D41" s="22">
        <v>2200</v>
      </c>
      <c r="E41" s="22">
        <v>3000</v>
      </c>
      <c r="F41" s="22" t="s">
        <v>245</v>
      </c>
      <c r="G41" s="34">
        <v>45677</v>
      </c>
      <c r="H41" s="22">
        <v>2</v>
      </c>
      <c r="I41" s="22">
        <f t="shared" si="0"/>
        <v>6000</v>
      </c>
      <c r="J41" s="22">
        <f t="shared" si="1"/>
        <v>1600</v>
      </c>
      <c r="O41" s="60">
        <v>45679</v>
      </c>
      <c r="P41" s="22">
        <v>91000</v>
      </c>
    </row>
    <row r="42" spans="1:16" x14ac:dyDescent="0.25">
      <c r="A42" s="22" t="s">
        <v>1778</v>
      </c>
      <c r="B42" s="22" t="s">
        <v>1800</v>
      </c>
      <c r="C42" s="22" t="s">
        <v>265</v>
      </c>
      <c r="D42" s="22">
        <v>65000</v>
      </c>
      <c r="E42" s="22">
        <v>75000</v>
      </c>
      <c r="F42" s="22" t="s">
        <v>243</v>
      </c>
      <c r="G42" s="34">
        <v>45678</v>
      </c>
      <c r="H42" s="22">
        <v>3</v>
      </c>
      <c r="I42" s="22">
        <f t="shared" si="0"/>
        <v>225000</v>
      </c>
      <c r="J42" s="22">
        <f t="shared" si="1"/>
        <v>30000</v>
      </c>
      <c r="O42" s="60">
        <v>45680</v>
      </c>
      <c r="P42" s="22">
        <v>66500</v>
      </c>
    </row>
    <row r="43" spans="1:16" x14ac:dyDescent="0.25">
      <c r="A43" s="22" t="s">
        <v>1949</v>
      </c>
      <c r="B43" s="22" t="s">
        <v>1918</v>
      </c>
      <c r="C43" s="22" t="s">
        <v>265</v>
      </c>
      <c r="D43" s="22">
        <v>500</v>
      </c>
      <c r="E43" s="22">
        <v>800</v>
      </c>
      <c r="F43" s="22" t="s">
        <v>247</v>
      </c>
      <c r="G43" s="34">
        <v>45678</v>
      </c>
      <c r="H43" s="22">
        <v>1</v>
      </c>
      <c r="I43" s="22">
        <f t="shared" si="0"/>
        <v>800</v>
      </c>
      <c r="J43" s="22">
        <f t="shared" si="1"/>
        <v>300</v>
      </c>
      <c r="O43" s="60">
        <v>45681</v>
      </c>
      <c r="P43" s="22">
        <v>112000</v>
      </c>
    </row>
    <row r="44" spans="1:16" x14ac:dyDescent="0.25">
      <c r="A44" s="22" t="s">
        <v>1950</v>
      </c>
      <c r="B44" s="22" t="s">
        <v>1919</v>
      </c>
      <c r="C44" s="22" t="s">
        <v>265</v>
      </c>
      <c r="D44" s="22">
        <v>1000</v>
      </c>
      <c r="E44" s="22">
        <v>1500</v>
      </c>
      <c r="F44" s="22" t="s">
        <v>246</v>
      </c>
      <c r="G44" s="34">
        <v>45679</v>
      </c>
      <c r="H44" s="22">
        <v>2</v>
      </c>
      <c r="I44" s="22">
        <f t="shared" si="0"/>
        <v>3000</v>
      </c>
      <c r="J44" s="22">
        <f t="shared" si="1"/>
        <v>1000</v>
      </c>
      <c r="O44" s="60">
        <v>45682</v>
      </c>
      <c r="P44" s="22">
        <v>13800</v>
      </c>
    </row>
    <row r="45" spans="1:16" x14ac:dyDescent="0.25">
      <c r="A45" s="22" t="s">
        <v>1951</v>
      </c>
      <c r="B45" s="22" t="s">
        <v>1920</v>
      </c>
      <c r="C45" s="22" t="s">
        <v>265</v>
      </c>
      <c r="D45" s="22">
        <v>18000</v>
      </c>
      <c r="E45" s="22">
        <v>22000</v>
      </c>
      <c r="F45" s="22" t="s">
        <v>245</v>
      </c>
      <c r="G45" s="34">
        <v>45679</v>
      </c>
      <c r="H45" s="22">
        <v>4</v>
      </c>
      <c r="I45" s="22">
        <f t="shared" si="0"/>
        <v>88000</v>
      </c>
      <c r="J45" s="22">
        <f t="shared" si="1"/>
        <v>16000</v>
      </c>
      <c r="O45" s="60" t="s">
        <v>116</v>
      </c>
      <c r="P45" s="22">
        <v>2777600</v>
      </c>
    </row>
    <row r="46" spans="1:16" x14ac:dyDescent="0.25">
      <c r="A46" s="22" t="s">
        <v>1952</v>
      </c>
      <c r="B46" s="22" t="s">
        <v>1921</v>
      </c>
      <c r="C46" s="22" t="s">
        <v>265</v>
      </c>
      <c r="D46" s="22">
        <v>1800</v>
      </c>
      <c r="E46" s="22">
        <v>2500</v>
      </c>
      <c r="F46" s="22" t="s">
        <v>243</v>
      </c>
      <c r="G46" s="34">
        <v>45680</v>
      </c>
      <c r="H46" s="22">
        <v>5</v>
      </c>
      <c r="I46" s="22">
        <f t="shared" si="0"/>
        <v>12500</v>
      </c>
      <c r="J46" s="22">
        <f t="shared" si="1"/>
        <v>3500</v>
      </c>
    </row>
    <row r="47" spans="1:16" x14ac:dyDescent="0.25">
      <c r="A47" s="22" t="s">
        <v>1902</v>
      </c>
      <c r="B47" s="22" t="s">
        <v>1923</v>
      </c>
      <c r="C47" s="22" t="s">
        <v>265</v>
      </c>
      <c r="D47" s="22">
        <v>15000</v>
      </c>
      <c r="E47" s="22">
        <v>18000</v>
      </c>
      <c r="F47" s="22" t="s">
        <v>247</v>
      </c>
      <c r="G47" s="34">
        <v>45680</v>
      </c>
      <c r="H47" s="22">
        <v>3</v>
      </c>
      <c r="I47" s="22">
        <f t="shared" si="0"/>
        <v>54000</v>
      </c>
      <c r="J47" s="22">
        <f t="shared" si="1"/>
        <v>9000</v>
      </c>
    </row>
    <row r="48" spans="1:16" x14ac:dyDescent="0.25">
      <c r="A48" s="22" t="s">
        <v>1953</v>
      </c>
      <c r="B48" s="22" t="s">
        <v>1924</v>
      </c>
      <c r="C48" s="22" t="s">
        <v>265</v>
      </c>
      <c r="D48" s="22">
        <v>30000</v>
      </c>
      <c r="E48" s="22">
        <v>35000</v>
      </c>
      <c r="F48" s="22" t="s">
        <v>246</v>
      </c>
      <c r="G48" s="34">
        <v>45681</v>
      </c>
      <c r="H48" s="22">
        <v>2</v>
      </c>
      <c r="I48" s="22">
        <f t="shared" si="0"/>
        <v>70000</v>
      </c>
      <c r="J48" s="22">
        <f t="shared" si="1"/>
        <v>10000</v>
      </c>
    </row>
    <row r="49" spans="1:10" x14ac:dyDescent="0.25">
      <c r="A49" s="22" t="s">
        <v>1954</v>
      </c>
      <c r="B49" s="22" t="s">
        <v>1925</v>
      </c>
      <c r="C49" s="22" t="s">
        <v>265</v>
      </c>
      <c r="D49" s="22">
        <v>38000</v>
      </c>
      <c r="E49" s="22">
        <v>42000</v>
      </c>
      <c r="F49" s="22" t="s">
        <v>245</v>
      </c>
      <c r="G49" s="34">
        <v>45681</v>
      </c>
      <c r="H49" s="22">
        <v>1</v>
      </c>
      <c r="I49" s="22">
        <f t="shared" si="0"/>
        <v>42000</v>
      </c>
      <c r="J49" s="22">
        <f t="shared" si="1"/>
        <v>4000</v>
      </c>
    </row>
    <row r="50" spans="1:10" x14ac:dyDescent="0.25">
      <c r="A50" s="22" t="s">
        <v>1955</v>
      </c>
      <c r="B50" s="22" t="s">
        <v>1926</v>
      </c>
      <c r="C50" s="22" t="s">
        <v>260</v>
      </c>
      <c r="D50" s="22">
        <v>800</v>
      </c>
      <c r="E50" s="22">
        <v>1200</v>
      </c>
      <c r="F50" s="22" t="s">
        <v>243</v>
      </c>
      <c r="G50" s="34">
        <v>45682</v>
      </c>
      <c r="H50" s="22">
        <v>4</v>
      </c>
      <c r="I50" s="22">
        <f t="shared" si="0"/>
        <v>4800</v>
      </c>
      <c r="J50" s="22">
        <f t="shared" si="1"/>
        <v>1600</v>
      </c>
    </row>
    <row r="51" spans="1:10" x14ac:dyDescent="0.25">
      <c r="A51" s="22" t="s">
        <v>1956</v>
      </c>
      <c r="B51" s="22" t="s">
        <v>1928</v>
      </c>
      <c r="C51" s="22" t="s">
        <v>260</v>
      </c>
      <c r="D51" s="22">
        <v>2200</v>
      </c>
      <c r="E51" s="22">
        <v>3000</v>
      </c>
      <c r="F51" s="22" t="s">
        <v>247</v>
      </c>
      <c r="G51" s="34">
        <v>45682</v>
      </c>
      <c r="H51" s="22">
        <v>3</v>
      </c>
      <c r="I51" s="22">
        <f t="shared" si="0"/>
        <v>9000</v>
      </c>
      <c r="J51" s="22">
        <f t="shared" si="1"/>
        <v>2400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42A51-FB9D-4740-A535-ECA331EFA0B1}">
  <dimension ref="A1"/>
  <sheetViews>
    <sheetView workbookViewId="0">
      <selection activeCell="U43" sqref="U43"/>
    </sheetView>
  </sheetViews>
  <sheetFormatPr defaultRowHeight="15" x14ac:dyDescent="0.25"/>
  <cols>
    <col min="1" max="16384" width="9.140625" style="6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Sheet3</vt:lpstr>
      <vt:lpstr>Sheet5</vt:lpstr>
      <vt:lpstr>Sheet9</vt:lpstr>
      <vt:lpstr>Sheet6</vt:lpstr>
      <vt:lpstr>sales</vt:lpstr>
      <vt:lpstr>Sheet18</vt:lpstr>
      <vt:lpstr>Sheet13</vt:lpstr>
      <vt:lpstr>Sheet16</vt:lpstr>
      <vt:lpstr>Sheet10</vt:lpstr>
      <vt:lpstr>Sheet1</vt:lpstr>
      <vt:lpstr>Sheet2</vt:lpstr>
      <vt:lpstr>Sheet7</vt:lpstr>
      <vt:lpstr>Sheet11</vt:lpstr>
      <vt:lpstr>Sheet17</vt:lpstr>
      <vt:lpstr>Sheet4</vt:lpstr>
      <vt:lpstr>Sheet12</vt:lpstr>
      <vt:lpstr>Sales &amp; revenue</vt:lpstr>
      <vt:lpstr>Sheet15</vt:lpstr>
      <vt:lpstr>Sheet8</vt:lpstr>
      <vt:lpstr>Banking Analysis</vt:lpstr>
      <vt:lpstr>Sheet20</vt:lpstr>
      <vt:lpstr>Sales performance Analysis</vt:lpstr>
      <vt:lpstr>Sheet14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Abu Bakker Siddik</dc:creator>
  <cp:lastModifiedBy>Abu Bakker Siddik</cp:lastModifiedBy>
  <cp:lastPrinted>2025-10-28T16:54:06Z</cp:lastPrinted>
  <dcterms:created xsi:type="dcterms:W3CDTF">2015-06-05T18:17:20Z</dcterms:created>
  <dcterms:modified xsi:type="dcterms:W3CDTF">2026-02-05T15:41:17Z</dcterms:modified>
</cp:coreProperties>
</file>